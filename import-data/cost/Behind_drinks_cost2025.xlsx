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OM Nitro\Desktop\"/>
    </mc:Choice>
  </mc:AlternateContent>
  <xr:revisionPtr revIDLastSave="0" documentId="13_ncr:1_{0B246CF1-E0AC-466D-9737-27320F1D8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นม-ชา" sheetId="18" r:id="rId1"/>
    <sheet name="กาแฟ" sheetId="10" r:id="rId2"/>
    <sheet name="lineman" sheetId="20" r:id="rId3"/>
    <sheet name="Shoppee" sheetId="19" r:id="rId4"/>
    <sheet name="Sheet1" sheetId="22" r:id="rId5"/>
    <sheet name="ราคา" sheetId="21" r:id="rId6"/>
    <sheet name="วัตถุดิบ" sheetId="15" r:id="rId7"/>
    <sheet name="คำนวนต้นทุน." sheetId="8" r:id="rId8"/>
    <sheet name="สรุปรายการ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6" i="10" l="1"/>
  <c r="R50" i="10"/>
  <c r="R104" i="18"/>
  <c r="R108" i="18"/>
  <c r="N103" i="18"/>
  <c r="Q103" i="18" s="1"/>
  <c r="I28" i="22"/>
  <c r="I31" i="18"/>
  <c r="H28" i="18"/>
  <c r="H29" i="18"/>
  <c r="E29" i="18"/>
  <c r="I26" i="18"/>
  <c r="Q28" i="10"/>
  <c r="N28" i="10"/>
  <c r="AD124" i="10"/>
  <c r="AD125" i="10"/>
  <c r="AD126" i="10"/>
  <c r="AD120" i="10"/>
  <c r="AD121" i="10"/>
  <c r="AD122" i="10"/>
  <c r="AD123" i="10"/>
  <c r="AD115" i="10"/>
  <c r="AD116" i="10"/>
  <c r="AD117" i="10"/>
  <c r="AD118" i="10"/>
  <c r="AD119" i="10"/>
  <c r="AD114" i="10"/>
  <c r="H142" i="10"/>
  <c r="E142" i="10"/>
  <c r="E141" i="10"/>
  <c r="H141" i="10" s="1"/>
  <c r="E140" i="10"/>
  <c r="H140" i="10" s="1"/>
  <c r="H139" i="10"/>
  <c r="E139" i="10"/>
  <c r="H138" i="10"/>
  <c r="E138" i="10"/>
  <c r="H137" i="10"/>
  <c r="E137" i="10"/>
  <c r="E136" i="10"/>
  <c r="H136" i="10" s="1"/>
  <c r="E46" i="18"/>
  <c r="H46" i="18" s="1"/>
  <c r="T12" i="19"/>
  <c r="V12" i="19" s="1"/>
  <c r="T13" i="19"/>
  <c r="V13" i="19" s="1"/>
  <c r="Z45" i="18"/>
  <c r="W45" i="18"/>
  <c r="Z44" i="18"/>
  <c r="W44" i="18"/>
  <c r="W43" i="18"/>
  <c r="Z43" i="18" s="1"/>
  <c r="W42" i="18"/>
  <c r="Z42" i="18" s="1"/>
  <c r="W41" i="18"/>
  <c r="Z41" i="18" s="1"/>
  <c r="V35" i="19"/>
  <c r="V36" i="19"/>
  <c r="T35" i="19"/>
  <c r="T36" i="19"/>
  <c r="R36" i="19"/>
  <c r="Q36" i="19"/>
  <c r="P36" i="19"/>
  <c r="O36" i="19"/>
  <c r="D36" i="19"/>
  <c r="D36" i="20"/>
  <c r="E36" i="20" s="1"/>
  <c r="E66" i="10"/>
  <c r="H66" i="10" s="1"/>
  <c r="I5" i="20"/>
  <c r="I6" i="20"/>
  <c r="I7" i="20"/>
  <c r="I8" i="20"/>
  <c r="I9" i="20"/>
  <c r="I10" i="20"/>
  <c r="I11" i="20"/>
  <c r="I12" i="20"/>
  <c r="I13" i="20"/>
  <c r="I15" i="20"/>
  <c r="I16" i="20"/>
  <c r="I17" i="20"/>
  <c r="I18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O21" i="19"/>
  <c r="O20" i="19"/>
  <c r="T19" i="19"/>
  <c r="O15" i="19"/>
  <c r="O13" i="19"/>
  <c r="O11" i="19"/>
  <c r="O9" i="19"/>
  <c r="O8" i="19"/>
  <c r="O6" i="19"/>
  <c r="T5" i="19"/>
  <c r="O5" i="19"/>
  <c r="V5" i="19"/>
  <c r="V6" i="19"/>
  <c r="V7" i="19"/>
  <c r="V8" i="19"/>
  <c r="V9" i="19"/>
  <c r="V10" i="19"/>
  <c r="V11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1" i="19"/>
  <c r="V32" i="19"/>
  <c r="V33" i="19"/>
  <c r="V34" i="19"/>
  <c r="T6" i="19"/>
  <c r="T7" i="19"/>
  <c r="T8" i="19"/>
  <c r="T9" i="19"/>
  <c r="T10" i="19"/>
  <c r="T11" i="19"/>
  <c r="T14" i="19"/>
  <c r="T15" i="19"/>
  <c r="T16" i="19"/>
  <c r="T17" i="19"/>
  <c r="T18" i="19"/>
  <c r="T20" i="19"/>
  <c r="T21" i="19"/>
  <c r="T22" i="19"/>
  <c r="T23" i="19"/>
  <c r="T24" i="19"/>
  <c r="T25" i="19"/>
  <c r="T26" i="19"/>
  <c r="T27" i="19"/>
  <c r="T28" i="19"/>
  <c r="T29" i="19"/>
  <c r="T31" i="19"/>
  <c r="T32" i="19"/>
  <c r="T33" i="19"/>
  <c r="T34" i="19"/>
  <c r="AC5" i="21"/>
  <c r="AC6" i="21"/>
  <c r="AC8" i="21"/>
  <c r="AC9" i="21"/>
  <c r="AC10" i="21"/>
  <c r="AC11" i="21"/>
  <c r="AC13" i="21"/>
  <c r="AC14" i="21"/>
  <c r="AC15" i="21"/>
  <c r="AC16" i="21"/>
  <c r="AC17" i="21"/>
  <c r="AC19" i="21"/>
  <c r="AC20" i="21"/>
  <c r="AC21" i="21"/>
  <c r="AC22" i="21"/>
  <c r="AC24" i="21"/>
  <c r="AC25" i="21"/>
  <c r="AC26" i="21"/>
  <c r="AC27" i="21"/>
  <c r="AC29" i="21"/>
  <c r="AC30" i="21"/>
  <c r="AC32" i="21"/>
  <c r="AC33" i="21"/>
  <c r="AC34" i="21"/>
  <c r="AC4" i="21"/>
  <c r="P34" i="21"/>
  <c r="P33" i="21"/>
  <c r="Q33" i="21" s="1"/>
  <c r="P32" i="21"/>
  <c r="P30" i="21"/>
  <c r="P29" i="21"/>
  <c r="Q29" i="21" s="1"/>
  <c r="R29" i="21" s="1"/>
  <c r="T29" i="21" s="1"/>
  <c r="U29" i="21" s="1"/>
  <c r="P27" i="21"/>
  <c r="P26" i="21"/>
  <c r="P25" i="21"/>
  <c r="P24" i="21"/>
  <c r="P22" i="21"/>
  <c r="Q22" i="21" s="1"/>
  <c r="R22" i="21" s="1"/>
  <c r="T22" i="21" s="1"/>
  <c r="U22" i="21" s="1"/>
  <c r="P21" i="21"/>
  <c r="P20" i="21"/>
  <c r="Q20" i="21" s="1"/>
  <c r="P19" i="21"/>
  <c r="P17" i="21"/>
  <c r="Q17" i="21" s="1"/>
  <c r="P16" i="21"/>
  <c r="P15" i="21"/>
  <c r="P14" i="21"/>
  <c r="Q14" i="21" s="1"/>
  <c r="R14" i="21" s="1"/>
  <c r="T14" i="21" s="1"/>
  <c r="U14" i="21" s="1"/>
  <c r="P13" i="21"/>
  <c r="P11" i="21"/>
  <c r="P10" i="21"/>
  <c r="P9" i="21"/>
  <c r="P8" i="21"/>
  <c r="Q8" i="21" s="1"/>
  <c r="R8" i="21" s="1"/>
  <c r="T8" i="21" s="1"/>
  <c r="U8" i="21" s="1"/>
  <c r="P6" i="21"/>
  <c r="P5" i="21"/>
  <c r="P4" i="21"/>
  <c r="D34" i="21"/>
  <c r="E34" i="21" s="1"/>
  <c r="E33" i="21"/>
  <c r="D33" i="21"/>
  <c r="F33" i="21" s="1"/>
  <c r="H33" i="21" s="1"/>
  <c r="I33" i="21" s="1"/>
  <c r="D32" i="21"/>
  <c r="E32" i="21" s="1"/>
  <c r="F32" i="21" s="1"/>
  <c r="H32" i="21" s="1"/>
  <c r="I32" i="21" s="1"/>
  <c r="D30" i="21"/>
  <c r="D29" i="21"/>
  <c r="D27" i="21"/>
  <c r="E27" i="21" s="1"/>
  <c r="F27" i="21" s="1"/>
  <c r="H27" i="21" s="1"/>
  <c r="I27" i="21" s="1"/>
  <c r="D26" i="21"/>
  <c r="E26" i="21" s="1"/>
  <c r="F26" i="21" s="1"/>
  <c r="H26" i="21" s="1"/>
  <c r="I26" i="21" s="1"/>
  <c r="D25" i="21"/>
  <c r="D24" i="21"/>
  <c r="D22" i="21"/>
  <c r="E22" i="21" s="1"/>
  <c r="F22" i="21" s="1"/>
  <c r="H22" i="21" s="1"/>
  <c r="I22" i="21" s="1"/>
  <c r="D21" i="21"/>
  <c r="D20" i="21"/>
  <c r="D19" i="21"/>
  <c r="E19" i="21" s="1"/>
  <c r="D17" i="21"/>
  <c r="E17" i="21" s="1"/>
  <c r="F17" i="21" s="1"/>
  <c r="H17" i="21" s="1"/>
  <c r="I17" i="21" s="1"/>
  <c r="D16" i="21"/>
  <c r="E16" i="21" s="1"/>
  <c r="F16" i="21" s="1"/>
  <c r="H16" i="21" s="1"/>
  <c r="I16" i="21" s="1"/>
  <c r="D15" i="21"/>
  <c r="D14" i="21"/>
  <c r="E14" i="21" s="1"/>
  <c r="D13" i="21"/>
  <c r="E13" i="21" s="1"/>
  <c r="F13" i="21" s="1"/>
  <c r="H13" i="21" s="1"/>
  <c r="I13" i="21" s="1"/>
  <c r="D11" i="21"/>
  <c r="E11" i="21" s="1"/>
  <c r="F11" i="21" s="1"/>
  <c r="H11" i="21" s="1"/>
  <c r="I11" i="21" s="1"/>
  <c r="D10" i="21"/>
  <c r="D9" i="21"/>
  <c r="D8" i="21"/>
  <c r="E8" i="21" s="1"/>
  <c r="F8" i="21" s="1"/>
  <c r="H8" i="21" s="1"/>
  <c r="I8" i="21" s="1"/>
  <c r="D6" i="21"/>
  <c r="D5" i="21"/>
  <c r="D4" i="21"/>
  <c r="R5" i="19"/>
  <c r="R6" i="19"/>
  <c r="R8" i="19"/>
  <c r="R9" i="19"/>
  <c r="R10" i="19"/>
  <c r="R11" i="19"/>
  <c r="R13" i="19"/>
  <c r="R14" i="19"/>
  <c r="R15" i="19"/>
  <c r="R16" i="19"/>
  <c r="R17" i="19"/>
  <c r="R19" i="19"/>
  <c r="R20" i="19"/>
  <c r="R21" i="19"/>
  <c r="R22" i="19"/>
  <c r="R24" i="19"/>
  <c r="R25" i="19"/>
  <c r="R26" i="19"/>
  <c r="R27" i="19"/>
  <c r="R29" i="19"/>
  <c r="R32" i="19"/>
  <c r="R33" i="19"/>
  <c r="R34" i="19"/>
  <c r="Q34" i="19"/>
  <c r="Q33" i="19"/>
  <c r="Q32" i="19"/>
  <c r="Q29" i="19"/>
  <c r="Q27" i="19"/>
  <c r="Q26" i="19"/>
  <c r="Q25" i="19"/>
  <c r="Q24" i="19"/>
  <c r="Q22" i="19"/>
  <c r="Q21" i="19"/>
  <c r="Q20" i="19"/>
  <c r="Q19" i="19"/>
  <c r="Q17" i="19"/>
  <c r="Q16" i="19"/>
  <c r="Q15" i="19"/>
  <c r="Q14" i="19"/>
  <c r="Q13" i="19"/>
  <c r="Q11" i="19"/>
  <c r="Q10" i="19"/>
  <c r="Q9" i="19"/>
  <c r="Q8" i="19"/>
  <c r="Q6" i="19"/>
  <c r="Q5" i="19"/>
  <c r="Q4" i="19"/>
  <c r="P34" i="19"/>
  <c r="P33" i="19"/>
  <c r="P32" i="19"/>
  <c r="P29" i="19"/>
  <c r="P27" i="19"/>
  <c r="P26" i="19"/>
  <c r="P25" i="19"/>
  <c r="P24" i="19"/>
  <c r="P21" i="19"/>
  <c r="P22" i="19"/>
  <c r="P20" i="19"/>
  <c r="P19" i="19"/>
  <c r="P17" i="19"/>
  <c r="P16" i="19"/>
  <c r="P15" i="19"/>
  <c r="P14" i="19"/>
  <c r="P13" i="19"/>
  <c r="P11" i="19"/>
  <c r="P10" i="19"/>
  <c r="P9" i="19"/>
  <c r="P8" i="19"/>
  <c r="P6" i="19"/>
  <c r="P5" i="19"/>
  <c r="P4" i="19"/>
  <c r="R4" i="19" s="1"/>
  <c r="T4" i="19" s="1"/>
  <c r="O34" i="19"/>
  <c r="O33" i="19"/>
  <c r="O32" i="19"/>
  <c r="O30" i="19"/>
  <c r="P30" i="19" s="1"/>
  <c r="O29" i="19"/>
  <c r="O27" i="19"/>
  <c r="O26" i="19"/>
  <c r="O25" i="19"/>
  <c r="O24" i="19"/>
  <c r="O22" i="19"/>
  <c r="O19" i="19"/>
  <c r="O17" i="19"/>
  <c r="O16" i="19"/>
  <c r="O14" i="19"/>
  <c r="O10" i="19"/>
  <c r="O4" i="19"/>
  <c r="E30" i="19"/>
  <c r="D30" i="19"/>
  <c r="D34" i="19"/>
  <c r="E34" i="19" s="1"/>
  <c r="D33" i="19"/>
  <c r="E33" i="19" s="1"/>
  <c r="F33" i="19" s="1"/>
  <c r="H33" i="19" s="1"/>
  <c r="I33" i="19" s="1"/>
  <c r="E32" i="19"/>
  <c r="D32" i="19"/>
  <c r="D34" i="20"/>
  <c r="E34" i="20" s="1"/>
  <c r="F34" i="20" s="1"/>
  <c r="H34" i="20" s="1"/>
  <c r="E33" i="20"/>
  <c r="D33" i="20"/>
  <c r="F33" i="20"/>
  <c r="H33" i="20" s="1"/>
  <c r="E32" i="20"/>
  <c r="F32" i="20" s="1"/>
  <c r="H32" i="20" s="1"/>
  <c r="D32" i="20"/>
  <c r="D30" i="20"/>
  <c r="E30" i="20" s="1"/>
  <c r="Z26" i="18"/>
  <c r="Z27" i="18"/>
  <c r="Z28" i="18"/>
  <c r="W28" i="18"/>
  <c r="W26" i="18"/>
  <c r="W27" i="18"/>
  <c r="W25" i="18"/>
  <c r="Z25" i="18" s="1"/>
  <c r="W24" i="18"/>
  <c r="Z24" i="18" s="1"/>
  <c r="W23" i="18"/>
  <c r="Z23" i="18" s="1"/>
  <c r="Z22" i="18"/>
  <c r="W22" i="18"/>
  <c r="W6" i="18"/>
  <c r="Z6" i="18" s="1"/>
  <c r="W5" i="18"/>
  <c r="Z5" i="18" s="1"/>
  <c r="W4" i="18"/>
  <c r="Z4" i="18" s="1"/>
  <c r="W3" i="18"/>
  <c r="Z3" i="18" s="1"/>
  <c r="E124" i="18"/>
  <c r="H124" i="18" s="1"/>
  <c r="E123" i="18"/>
  <c r="E125" i="18"/>
  <c r="H125" i="18" s="1"/>
  <c r="H123" i="18"/>
  <c r="H119" i="18"/>
  <c r="E119" i="18"/>
  <c r="E120" i="18"/>
  <c r="H120" i="18" s="1"/>
  <c r="E121" i="18"/>
  <c r="H121" i="18" s="1"/>
  <c r="E122" i="18"/>
  <c r="H122" i="18" s="1"/>
  <c r="E118" i="18"/>
  <c r="H118" i="18" s="1"/>
  <c r="E117" i="18"/>
  <c r="H117" i="18" s="1"/>
  <c r="Q102" i="18"/>
  <c r="N102" i="18"/>
  <c r="N101" i="18"/>
  <c r="Q101" i="18" s="1"/>
  <c r="N100" i="18"/>
  <c r="Q100" i="18" s="1"/>
  <c r="N99" i="18"/>
  <c r="Q99" i="18" s="1"/>
  <c r="N98" i="18"/>
  <c r="Q98" i="18" s="1"/>
  <c r="N82" i="18"/>
  <c r="Q82" i="18" s="1"/>
  <c r="Q81" i="18"/>
  <c r="N81" i="18"/>
  <c r="Q80" i="18"/>
  <c r="N80" i="18"/>
  <c r="N79" i="18"/>
  <c r="Q79" i="18" s="1"/>
  <c r="H65" i="18"/>
  <c r="E65" i="18"/>
  <c r="D117" i="10"/>
  <c r="C117" i="10"/>
  <c r="E122" i="10"/>
  <c r="H122" i="10" s="1"/>
  <c r="E121" i="10"/>
  <c r="H121" i="10" s="1"/>
  <c r="E120" i="10"/>
  <c r="H120" i="10" s="1"/>
  <c r="H119" i="10"/>
  <c r="E119" i="10"/>
  <c r="E118" i="10"/>
  <c r="H118" i="10" s="1"/>
  <c r="H8" i="10"/>
  <c r="E8" i="10"/>
  <c r="D98" i="10"/>
  <c r="C98" i="10"/>
  <c r="E101" i="10"/>
  <c r="H101" i="10" s="1"/>
  <c r="E103" i="18"/>
  <c r="H103" i="18" s="1"/>
  <c r="E102" i="18"/>
  <c r="H102" i="18" s="1"/>
  <c r="E101" i="18"/>
  <c r="H101" i="18" s="1"/>
  <c r="H100" i="18"/>
  <c r="E100" i="18"/>
  <c r="E99" i="18"/>
  <c r="H99" i="18" s="1"/>
  <c r="E98" i="18"/>
  <c r="H98" i="18" s="1"/>
  <c r="E81" i="18"/>
  <c r="H81" i="18" s="1"/>
  <c r="E80" i="18"/>
  <c r="H80" i="18" s="1"/>
  <c r="E79" i="18"/>
  <c r="H79" i="18" s="1"/>
  <c r="E41" i="18"/>
  <c r="H41" i="18" s="1"/>
  <c r="E80" i="10"/>
  <c r="H80" i="10" s="1"/>
  <c r="D8" i="20"/>
  <c r="D11" i="20"/>
  <c r="D13" i="20"/>
  <c r="D19" i="20"/>
  <c r="D20" i="20"/>
  <c r="D22" i="20"/>
  <c r="D29" i="20"/>
  <c r="E50" i="15"/>
  <c r="G50" i="15"/>
  <c r="E51" i="15"/>
  <c r="G51" i="15"/>
  <c r="E52" i="15"/>
  <c r="G52" i="15"/>
  <c r="E53" i="15"/>
  <c r="G53" i="15"/>
  <c r="E54" i="15"/>
  <c r="G54" i="15"/>
  <c r="E55" i="15"/>
  <c r="G55" i="15"/>
  <c r="E56" i="15"/>
  <c r="G56" i="15"/>
  <c r="E35" i="15"/>
  <c r="AE38" i="3"/>
  <c r="Q38" i="3"/>
  <c r="E38" i="3"/>
  <c r="F38" i="3" s="1"/>
  <c r="D38" i="3"/>
  <c r="AE36" i="3"/>
  <c r="Q36" i="3"/>
  <c r="D36" i="3"/>
  <c r="E36" i="3" s="1"/>
  <c r="F36" i="3" s="1"/>
  <c r="AE35" i="3"/>
  <c r="Q35" i="3"/>
  <c r="D35" i="3"/>
  <c r="AE34" i="3"/>
  <c r="Q34" i="3"/>
  <c r="D34" i="3"/>
  <c r="E34" i="3" s="1"/>
  <c r="AE33" i="3"/>
  <c r="Q33" i="3"/>
  <c r="D33" i="3"/>
  <c r="AE32" i="3"/>
  <c r="Q32" i="3"/>
  <c r="R32" i="3" s="1"/>
  <c r="S32" i="3" s="1"/>
  <c r="D32" i="3"/>
  <c r="E32" i="3" s="1"/>
  <c r="AE30" i="3"/>
  <c r="S30" i="3"/>
  <c r="T30" i="3" s="1"/>
  <c r="R30" i="3"/>
  <c r="Q30" i="3"/>
  <c r="D30" i="3"/>
  <c r="AE29" i="3"/>
  <c r="Q29" i="3"/>
  <c r="R29" i="3" s="1"/>
  <c r="S29" i="3" s="1"/>
  <c r="D29" i="3"/>
  <c r="AE28" i="3"/>
  <c r="Q28" i="3"/>
  <c r="D28" i="3"/>
  <c r="AE27" i="3"/>
  <c r="Q27" i="3"/>
  <c r="R27" i="3" s="1"/>
  <c r="D27" i="3"/>
  <c r="E27" i="3" s="1"/>
  <c r="AE26" i="3"/>
  <c r="Q26" i="3"/>
  <c r="F26" i="3"/>
  <c r="I26" i="3" s="1"/>
  <c r="J26" i="3" s="1"/>
  <c r="E26" i="3"/>
  <c r="D26" i="3"/>
  <c r="AE24" i="3"/>
  <c r="Q24" i="3"/>
  <c r="R24" i="3" s="1"/>
  <c r="D24" i="3"/>
  <c r="AE23" i="3"/>
  <c r="Q23" i="3"/>
  <c r="R23" i="3" s="1"/>
  <c r="E23" i="3"/>
  <c r="F23" i="3" s="1"/>
  <c r="D23" i="3"/>
  <c r="AE22" i="3"/>
  <c r="Q22" i="3"/>
  <c r="D22" i="3"/>
  <c r="E22" i="3" s="1"/>
  <c r="F22" i="3" s="1"/>
  <c r="AE21" i="3"/>
  <c r="Q21" i="3"/>
  <c r="R21" i="3" s="1"/>
  <c r="D21" i="3"/>
  <c r="AE20" i="3"/>
  <c r="Q20" i="3"/>
  <c r="D20" i="3"/>
  <c r="AE19" i="3"/>
  <c r="Q19" i="3"/>
  <c r="D19" i="3"/>
  <c r="AE17" i="3"/>
  <c r="Q17" i="3"/>
  <c r="D17" i="3"/>
  <c r="AE16" i="3"/>
  <c r="R16" i="3"/>
  <c r="S16" i="3" s="1"/>
  <c r="Q16" i="3"/>
  <c r="D16" i="3"/>
  <c r="AE15" i="3"/>
  <c r="Q15" i="3"/>
  <c r="R15" i="3" s="1"/>
  <c r="S15" i="3" s="1"/>
  <c r="D15" i="3"/>
  <c r="AE14" i="3"/>
  <c r="Q14" i="3"/>
  <c r="E14" i="3"/>
  <c r="D14" i="3"/>
  <c r="AE13" i="3"/>
  <c r="Q13" i="3"/>
  <c r="D13" i="3"/>
  <c r="AE11" i="3"/>
  <c r="Q11" i="3"/>
  <c r="R11" i="3" s="1"/>
  <c r="D11" i="3"/>
  <c r="AE10" i="3"/>
  <c r="Q10" i="3"/>
  <c r="D10" i="3"/>
  <c r="AE9" i="3"/>
  <c r="Q9" i="3"/>
  <c r="E9" i="3"/>
  <c r="F9" i="3" s="1"/>
  <c r="D9" i="3"/>
  <c r="AE8" i="3"/>
  <c r="Q8" i="3"/>
  <c r="I8" i="3"/>
  <c r="J8" i="3" s="1"/>
  <c r="G8" i="3"/>
  <c r="F8" i="3"/>
  <c r="D8" i="3"/>
  <c r="E8" i="3" s="1"/>
  <c r="AE7" i="3"/>
  <c r="Q7" i="3"/>
  <c r="D7" i="3"/>
  <c r="D27" i="20"/>
  <c r="D26" i="20"/>
  <c r="D25" i="20"/>
  <c r="D24" i="20"/>
  <c r="D21" i="20"/>
  <c r="D17" i="20"/>
  <c r="D16" i="20"/>
  <c r="D15" i="20"/>
  <c r="D14" i="20"/>
  <c r="D10" i="20"/>
  <c r="D9" i="20"/>
  <c r="D6" i="20"/>
  <c r="D5" i="20"/>
  <c r="D22" i="19"/>
  <c r="E22" i="19" s="1"/>
  <c r="F22" i="19" s="1"/>
  <c r="H22" i="19" s="1"/>
  <c r="I22" i="19" s="1"/>
  <c r="D29" i="19"/>
  <c r="D27" i="19"/>
  <c r="D26" i="19"/>
  <c r="D25" i="19"/>
  <c r="D24" i="19"/>
  <c r="D21" i="19"/>
  <c r="E21" i="19" s="1"/>
  <c r="D20" i="19"/>
  <c r="D19" i="19"/>
  <c r="D17" i="19"/>
  <c r="D16" i="19"/>
  <c r="D15" i="19"/>
  <c r="D14" i="19"/>
  <c r="D13" i="19"/>
  <c r="D11" i="19"/>
  <c r="D10" i="19"/>
  <c r="E10" i="19" s="1"/>
  <c r="D9" i="19"/>
  <c r="D8" i="19"/>
  <c r="D6" i="19"/>
  <c r="E6" i="19" s="1"/>
  <c r="D5" i="19"/>
  <c r="D4" i="19"/>
  <c r="E4" i="19" s="1"/>
  <c r="E82" i="10"/>
  <c r="H82" i="10" s="1"/>
  <c r="N83" i="10"/>
  <c r="Q83" i="10" s="1"/>
  <c r="N84" i="10"/>
  <c r="Q84" i="10" s="1"/>
  <c r="N85" i="10"/>
  <c r="Q85" i="10" s="1"/>
  <c r="N86" i="10"/>
  <c r="Q86" i="10" s="1"/>
  <c r="N87" i="10"/>
  <c r="Q87" i="10" s="1"/>
  <c r="D79" i="10"/>
  <c r="C79" i="10"/>
  <c r="C3" i="10"/>
  <c r="D3" i="10"/>
  <c r="E4" i="10"/>
  <c r="H4" i="10" s="1"/>
  <c r="E5" i="10"/>
  <c r="H5" i="10" s="1"/>
  <c r="E6" i="10"/>
  <c r="H6" i="10" s="1"/>
  <c r="E7" i="10"/>
  <c r="H7" i="10" s="1"/>
  <c r="C22" i="10"/>
  <c r="D22" i="10"/>
  <c r="E23" i="10"/>
  <c r="H23" i="10"/>
  <c r="E24" i="10"/>
  <c r="H24" i="10" s="1"/>
  <c r="E25" i="10"/>
  <c r="H25" i="10"/>
  <c r="E26" i="10"/>
  <c r="H26" i="10" s="1"/>
  <c r="C41" i="10"/>
  <c r="D41" i="10"/>
  <c r="E42" i="10"/>
  <c r="H42" i="10" s="1"/>
  <c r="E43" i="10"/>
  <c r="H43" i="10" s="1"/>
  <c r="E44" i="10"/>
  <c r="H44" i="10"/>
  <c r="E45" i="10"/>
  <c r="H45" i="10"/>
  <c r="C60" i="10"/>
  <c r="D60" i="10"/>
  <c r="E61" i="10"/>
  <c r="H61" i="10" s="1"/>
  <c r="E62" i="10"/>
  <c r="H62" i="10" s="1"/>
  <c r="E63" i="10"/>
  <c r="H63" i="10" s="1"/>
  <c r="E64" i="10"/>
  <c r="H64" i="10" s="1"/>
  <c r="E65" i="10"/>
  <c r="H65" i="10" s="1"/>
  <c r="AH95" i="10"/>
  <c r="AG95" i="10"/>
  <c r="N65" i="18"/>
  <c r="Q65" i="18" s="1"/>
  <c r="N64" i="18"/>
  <c r="Q64" i="18" s="1"/>
  <c r="N63" i="18"/>
  <c r="Q63" i="18" s="1"/>
  <c r="N62" i="18"/>
  <c r="Q62" i="18" s="1"/>
  <c r="N61" i="18"/>
  <c r="Q61" i="18" s="1"/>
  <c r="N60" i="18"/>
  <c r="Q60" i="18" s="1"/>
  <c r="N45" i="18"/>
  <c r="Q45" i="18" s="1"/>
  <c r="N44" i="18"/>
  <c r="Q44" i="18" s="1"/>
  <c r="N43" i="18"/>
  <c r="Q43" i="18" s="1"/>
  <c r="N42" i="18"/>
  <c r="Q42" i="18" s="1"/>
  <c r="N41" i="18"/>
  <c r="Q41" i="18" s="1"/>
  <c r="N30" i="18"/>
  <c r="Q30" i="18" s="1"/>
  <c r="N29" i="18"/>
  <c r="Q29" i="18" s="1"/>
  <c r="N28" i="18"/>
  <c r="Q28" i="18" s="1"/>
  <c r="N27" i="18"/>
  <c r="Q27" i="18" s="1"/>
  <c r="N26" i="18"/>
  <c r="Q26" i="18" s="1"/>
  <c r="N25" i="18"/>
  <c r="Q25" i="18" s="1"/>
  <c r="N24" i="18"/>
  <c r="Q24" i="18" s="1"/>
  <c r="N23" i="18"/>
  <c r="Q23" i="18" s="1"/>
  <c r="N22" i="18"/>
  <c r="Q22" i="18" s="1"/>
  <c r="N10" i="18"/>
  <c r="Q10" i="18" s="1"/>
  <c r="N9" i="18"/>
  <c r="Q9" i="18" s="1"/>
  <c r="N8" i="18"/>
  <c r="Q8" i="18" s="1"/>
  <c r="N7" i="18"/>
  <c r="Q7" i="18" s="1"/>
  <c r="N6" i="18"/>
  <c r="Q6" i="18" s="1"/>
  <c r="N5" i="18"/>
  <c r="Q5" i="18" s="1"/>
  <c r="N4" i="18"/>
  <c r="Q4" i="18" s="1"/>
  <c r="N3" i="18"/>
  <c r="Q3" i="18" s="1"/>
  <c r="E64" i="18"/>
  <c r="H64" i="18" s="1"/>
  <c r="E63" i="18"/>
  <c r="H63" i="18" s="1"/>
  <c r="E62" i="18"/>
  <c r="H62" i="18" s="1"/>
  <c r="E61" i="18"/>
  <c r="H61" i="18" s="1"/>
  <c r="E60" i="18"/>
  <c r="H60" i="18" s="1"/>
  <c r="E45" i="18"/>
  <c r="H45" i="18" s="1"/>
  <c r="E44" i="18"/>
  <c r="H44" i="18" s="1"/>
  <c r="E43" i="18"/>
  <c r="H43" i="18" s="1"/>
  <c r="E42" i="18"/>
  <c r="H42" i="18" s="1"/>
  <c r="E26" i="18"/>
  <c r="H26" i="18" s="1"/>
  <c r="E27" i="18"/>
  <c r="H27" i="18" s="1"/>
  <c r="E25" i="18"/>
  <c r="H25" i="18" s="1"/>
  <c r="E24" i="18"/>
  <c r="H24" i="18" s="1"/>
  <c r="E23" i="18"/>
  <c r="H23" i="18" s="1"/>
  <c r="E22" i="18"/>
  <c r="H22" i="18" s="1"/>
  <c r="E7" i="18"/>
  <c r="H7" i="18" s="1"/>
  <c r="E6" i="18"/>
  <c r="H6" i="18" s="1"/>
  <c r="E5" i="18"/>
  <c r="H5" i="18" s="1"/>
  <c r="E4" i="18"/>
  <c r="H4" i="18" s="1"/>
  <c r="E3" i="18"/>
  <c r="H3" i="18" s="1"/>
  <c r="N8" i="10"/>
  <c r="Q8" i="10" s="1"/>
  <c r="E49" i="15"/>
  <c r="G49" i="15" s="1"/>
  <c r="E48" i="15"/>
  <c r="G48" i="15" s="1"/>
  <c r="E47" i="15"/>
  <c r="G47" i="15" s="1"/>
  <c r="E46" i="15"/>
  <c r="G46" i="15" s="1"/>
  <c r="E45" i="15"/>
  <c r="G45" i="15" s="1"/>
  <c r="E44" i="15"/>
  <c r="G44" i="15" s="1"/>
  <c r="E43" i="15"/>
  <c r="G43" i="15" s="1"/>
  <c r="E42" i="15"/>
  <c r="G42" i="15" s="1"/>
  <c r="M60" i="10"/>
  <c r="M79" i="10"/>
  <c r="L79" i="10"/>
  <c r="L60" i="10"/>
  <c r="L41" i="10"/>
  <c r="L22" i="10"/>
  <c r="L3" i="10"/>
  <c r="G35" i="15"/>
  <c r="E24" i="15"/>
  <c r="G24" i="15" s="1"/>
  <c r="E29" i="15"/>
  <c r="G29" i="15" s="1"/>
  <c r="E30" i="15"/>
  <c r="G30" i="15" s="1"/>
  <c r="E31" i="15"/>
  <c r="G31" i="15" s="1"/>
  <c r="E32" i="15"/>
  <c r="G32" i="15" s="1"/>
  <c r="E33" i="15"/>
  <c r="E34" i="15"/>
  <c r="G33" i="15"/>
  <c r="G34" i="15"/>
  <c r="E28" i="15"/>
  <c r="G28" i="15" s="1"/>
  <c r="E27" i="15"/>
  <c r="G27" i="15" s="1"/>
  <c r="E26" i="15"/>
  <c r="G26" i="15" s="1"/>
  <c r="E25" i="15"/>
  <c r="G25" i="15" s="1"/>
  <c r="E23" i="15"/>
  <c r="G23" i="15" s="1"/>
  <c r="E22" i="15"/>
  <c r="G22" i="15" s="1"/>
  <c r="E21" i="15"/>
  <c r="G21" i="15" s="1"/>
  <c r="E9" i="15"/>
  <c r="G9" i="15" s="1"/>
  <c r="E10" i="15"/>
  <c r="G10" i="15" s="1"/>
  <c r="E11" i="15"/>
  <c r="G11" i="15" s="1"/>
  <c r="E12" i="15"/>
  <c r="G12" i="15" s="1"/>
  <c r="E13" i="15"/>
  <c r="G13" i="15" s="1"/>
  <c r="E14" i="15"/>
  <c r="G14" i="15" s="1"/>
  <c r="E8" i="15"/>
  <c r="G8" i="15" s="1"/>
  <c r="N82" i="10"/>
  <c r="Q82" i="10" s="1"/>
  <c r="N81" i="10"/>
  <c r="Q81" i="10" s="1"/>
  <c r="N80" i="10"/>
  <c r="Q80" i="10" s="1"/>
  <c r="X346" i="8"/>
  <c r="AA346" i="8" s="1"/>
  <c r="X345" i="8"/>
  <c r="AA345" i="8" s="1"/>
  <c r="X344" i="8"/>
  <c r="AA344" i="8" s="1"/>
  <c r="X343" i="8"/>
  <c r="AA343" i="8" s="1"/>
  <c r="X342" i="8"/>
  <c r="AA342" i="8" s="1"/>
  <c r="AA341" i="8"/>
  <c r="X341" i="8"/>
  <c r="X340" i="8"/>
  <c r="AA340" i="8" s="1"/>
  <c r="X339" i="8"/>
  <c r="AA339" i="8" s="1"/>
  <c r="X338" i="8"/>
  <c r="AA338" i="8" s="1"/>
  <c r="X337" i="8"/>
  <c r="AA337" i="8" s="1"/>
  <c r="N346" i="8"/>
  <c r="Q346" i="8" s="1"/>
  <c r="N345" i="8"/>
  <c r="Q345" i="8" s="1"/>
  <c r="N344" i="8"/>
  <c r="Q344" i="8" s="1"/>
  <c r="N343" i="8"/>
  <c r="Q343" i="8" s="1"/>
  <c r="N342" i="8"/>
  <c r="Q342" i="8" s="1"/>
  <c r="N341" i="8"/>
  <c r="Q341" i="8" s="1"/>
  <c r="Q340" i="8"/>
  <c r="N340" i="8"/>
  <c r="N339" i="8"/>
  <c r="Q339" i="8" s="1"/>
  <c r="N338" i="8"/>
  <c r="Q338" i="8" s="1"/>
  <c r="N337" i="8"/>
  <c r="Q337" i="8" s="1"/>
  <c r="N65" i="10"/>
  <c r="Q65" i="10" s="1"/>
  <c r="N64" i="10"/>
  <c r="Q64" i="10" s="1"/>
  <c r="N63" i="10"/>
  <c r="Q63" i="10" s="1"/>
  <c r="N62" i="10"/>
  <c r="Q62" i="10" s="1"/>
  <c r="N61" i="10"/>
  <c r="Q61" i="10" s="1"/>
  <c r="X282" i="8"/>
  <c r="AA282" i="8" s="1"/>
  <c r="X281" i="8"/>
  <c r="AA281" i="8" s="1"/>
  <c r="X280" i="8"/>
  <c r="AA280" i="8" s="1"/>
  <c r="X279" i="8"/>
  <c r="AA279" i="8" s="1"/>
  <c r="AA278" i="8"/>
  <c r="X278" i="8"/>
  <c r="X277" i="8"/>
  <c r="AA277" i="8" s="1"/>
  <c r="X276" i="8"/>
  <c r="AA276" i="8" s="1"/>
  <c r="AA286" i="8" s="1"/>
  <c r="W289" i="8" s="1"/>
  <c r="AA289" i="8" s="1"/>
  <c r="W290" i="8" s="1"/>
  <c r="AA290" i="8" s="1"/>
  <c r="AA292" i="8" s="1"/>
  <c r="X404" i="8"/>
  <c r="AA404" i="8" s="1"/>
  <c r="X403" i="8"/>
  <c r="AA403" i="8" s="1"/>
  <c r="X402" i="8"/>
  <c r="AA402" i="8" s="1"/>
  <c r="X401" i="8"/>
  <c r="AA401" i="8" s="1"/>
  <c r="X400" i="8"/>
  <c r="AA400" i="8" s="1"/>
  <c r="X399" i="8"/>
  <c r="AA399" i="8" s="1"/>
  <c r="X398" i="8"/>
  <c r="AA398" i="8" s="1"/>
  <c r="N404" i="8"/>
  <c r="Q404" i="8" s="1"/>
  <c r="N403" i="8"/>
  <c r="Q403" i="8" s="1"/>
  <c r="N402" i="8"/>
  <c r="Q402" i="8" s="1"/>
  <c r="N401" i="8"/>
  <c r="Q401" i="8" s="1"/>
  <c r="N400" i="8"/>
  <c r="Q400" i="8" s="1"/>
  <c r="N399" i="8"/>
  <c r="Q399" i="8" s="1"/>
  <c r="N398" i="8"/>
  <c r="Q398" i="8" s="1"/>
  <c r="M41" i="10"/>
  <c r="M22" i="10"/>
  <c r="M3" i="10"/>
  <c r="N45" i="10"/>
  <c r="Q45" i="10" s="1"/>
  <c r="N44" i="10"/>
  <c r="Q44" i="10" s="1"/>
  <c r="N43" i="10"/>
  <c r="Q43" i="10" s="1"/>
  <c r="N42" i="10"/>
  <c r="Q42" i="10" s="1"/>
  <c r="N27" i="10"/>
  <c r="Q27" i="10" s="1"/>
  <c r="N26" i="10"/>
  <c r="Q26" i="10" s="1"/>
  <c r="N25" i="10"/>
  <c r="Q25" i="10" s="1"/>
  <c r="N24" i="10"/>
  <c r="Q24" i="10" s="1"/>
  <c r="N23" i="10"/>
  <c r="Q23" i="10" s="1"/>
  <c r="N7" i="10"/>
  <c r="Q7" i="10" s="1"/>
  <c r="N6" i="10"/>
  <c r="Q6" i="10" s="1"/>
  <c r="N5" i="10"/>
  <c r="Q5" i="10" s="1"/>
  <c r="N4" i="10"/>
  <c r="Q4" i="10" s="1"/>
  <c r="X99" i="10"/>
  <c r="AA99" i="10" s="1"/>
  <c r="X98" i="10"/>
  <c r="AA98" i="10" s="1"/>
  <c r="X97" i="10"/>
  <c r="AA97" i="10" s="1"/>
  <c r="X96" i="10"/>
  <c r="AA96" i="10" s="1"/>
  <c r="X427" i="8"/>
  <c r="AA427" i="8" s="1"/>
  <c r="X426" i="8"/>
  <c r="AA426" i="8" s="1"/>
  <c r="X425" i="8"/>
  <c r="AA425" i="8" s="1"/>
  <c r="X424" i="8"/>
  <c r="AA424" i="8" s="1"/>
  <c r="X423" i="8"/>
  <c r="AA423" i="8" s="1"/>
  <c r="X422" i="8"/>
  <c r="AA422" i="8" s="1"/>
  <c r="X421" i="8"/>
  <c r="AA421" i="8" s="1"/>
  <c r="X420" i="8"/>
  <c r="AA420" i="8" s="1"/>
  <c r="X419" i="8"/>
  <c r="AA419" i="8" s="1"/>
  <c r="X418" i="8"/>
  <c r="AA418" i="8" s="1"/>
  <c r="N426" i="8"/>
  <c r="Q426" i="8" s="1"/>
  <c r="N425" i="8"/>
  <c r="Q425" i="8" s="1"/>
  <c r="N424" i="8"/>
  <c r="Q424" i="8" s="1"/>
  <c r="N423" i="8"/>
  <c r="Q423" i="8" s="1"/>
  <c r="N422" i="8"/>
  <c r="Q422" i="8" s="1"/>
  <c r="N421" i="8"/>
  <c r="Q421" i="8" s="1"/>
  <c r="N420" i="8"/>
  <c r="Q420" i="8" s="1"/>
  <c r="N419" i="8"/>
  <c r="Q419" i="8" s="1"/>
  <c r="N418" i="8"/>
  <c r="Q418" i="8" s="1"/>
  <c r="X261" i="8"/>
  <c r="AA261" i="8" s="1"/>
  <c r="X260" i="8"/>
  <c r="AA260" i="8" s="1"/>
  <c r="X259" i="8"/>
  <c r="AA259" i="8" s="1"/>
  <c r="X258" i="8"/>
  <c r="AA258" i="8" s="1"/>
  <c r="X257" i="8"/>
  <c r="AA257" i="8" s="1"/>
  <c r="X256" i="8"/>
  <c r="AA256" i="8" s="1"/>
  <c r="X255" i="8"/>
  <c r="AA255" i="8" s="1"/>
  <c r="X220" i="8"/>
  <c r="AA220" i="8" s="1"/>
  <c r="X219" i="8"/>
  <c r="AA219" i="8" s="1"/>
  <c r="X218" i="8"/>
  <c r="AA218" i="8" s="1"/>
  <c r="X217" i="8"/>
  <c r="AA217" i="8" s="1"/>
  <c r="X216" i="8"/>
  <c r="AA216" i="8" s="1"/>
  <c r="X215" i="8"/>
  <c r="AA215" i="8" s="1"/>
  <c r="X214" i="8"/>
  <c r="AA214" i="8" s="1"/>
  <c r="N387" i="8"/>
  <c r="Q387" i="8" s="1"/>
  <c r="N386" i="8"/>
  <c r="Q386" i="8" s="1"/>
  <c r="N385" i="8"/>
  <c r="Q385" i="8" s="1"/>
  <c r="N384" i="8"/>
  <c r="Q384" i="8" s="1"/>
  <c r="N383" i="8"/>
  <c r="Q383" i="8" s="1"/>
  <c r="N382" i="8"/>
  <c r="Q382" i="8" s="1"/>
  <c r="N381" i="8"/>
  <c r="Q381" i="8" s="1"/>
  <c r="N380" i="8"/>
  <c r="Q380" i="8" s="1"/>
  <c r="N379" i="8"/>
  <c r="Q379" i="8" s="1"/>
  <c r="N378" i="8"/>
  <c r="Q378" i="8" s="1"/>
  <c r="N366" i="8"/>
  <c r="Q366" i="8" s="1"/>
  <c r="N365" i="8"/>
  <c r="Q365" i="8" s="1"/>
  <c r="N364" i="8"/>
  <c r="Q364" i="8" s="1"/>
  <c r="N363" i="8"/>
  <c r="Q363" i="8" s="1"/>
  <c r="N362" i="8"/>
  <c r="Q362" i="8" s="1"/>
  <c r="N361" i="8"/>
  <c r="Q361" i="8" s="1"/>
  <c r="Q360" i="8"/>
  <c r="N360" i="8"/>
  <c r="N359" i="8"/>
  <c r="Q359" i="8" s="1"/>
  <c r="N358" i="8"/>
  <c r="Q358" i="8" s="1"/>
  <c r="N357" i="8"/>
  <c r="Q357" i="8" s="1"/>
  <c r="N261" i="8"/>
  <c r="Q261" i="8" s="1"/>
  <c r="N260" i="8"/>
  <c r="Q260" i="8" s="1"/>
  <c r="N259" i="8"/>
  <c r="Q259" i="8" s="1"/>
  <c r="N258" i="8"/>
  <c r="Q258" i="8" s="1"/>
  <c r="N257" i="8"/>
  <c r="Q257" i="8" s="1"/>
  <c r="N256" i="8"/>
  <c r="Q256" i="8" s="1"/>
  <c r="N255" i="8"/>
  <c r="Q255" i="8" s="1"/>
  <c r="N241" i="8"/>
  <c r="Q241" i="8" s="1"/>
  <c r="N240" i="8"/>
  <c r="Q240" i="8" s="1"/>
  <c r="N239" i="8"/>
  <c r="Q239" i="8" s="1"/>
  <c r="N238" i="8"/>
  <c r="Q238" i="8" s="1"/>
  <c r="N237" i="8"/>
  <c r="Q237" i="8" s="1"/>
  <c r="N236" i="8"/>
  <c r="Q236" i="8" s="1"/>
  <c r="N235" i="8"/>
  <c r="Q235" i="8" s="1"/>
  <c r="N121" i="8"/>
  <c r="Q121" i="8" s="1"/>
  <c r="N120" i="8"/>
  <c r="Q120" i="8" s="1"/>
  <c r="N119" i="8"/>
  <c r="Q119" i="8" s="1"/>
  <c r="N118" i="8"/>
  <c r="Q118" i="8" s="1"/>
  <c r="N117" i="8"/>
  <c r="Q117" i="8" s="1"/>
  <c r="N116" i="8"/>
  <c r="Q116" i="8" s="1"/>
  <c r="N115" i="8"/>
  <c r="Q115" i="8" s="1"/>
  <c r="N220" i="8"/>
  <c r="Q220" i="8" s="1"/>
  <c r="N219" i="8"/>
  <c r="Q219" i="8" s="1"/>
  <c r="N218" i="8"/>
  <c r="Q218" i="8" s="1"/>
  <c r="N217" i="8"/>
  <c r="Q217" i="8" s="1"/>
  <c r="N216" i="8"/>
  <c r="Q216" i="8" s="1"/>
  <c r="N215" i="8"/>
  <c r="Q215" i="8" s="1"/>
  <c r="N214" i="8"/>
  <c r="Q214" i="8" s="1"/>
  <c r="O22" i="8"/>
  <c r="R22" i="8" s="1"/>
  <c r="O65" i="8"/>
  <c r="R65" i="8" s="1"/>
  <c r="O64" i="8"/>
  <c r="R64" i="8" s="1"/>
  <c r="O63" i="8"/>
  <c r="R63" i="8" s="1"/>
  <c r="O62" i="8"/>
  <c r="R62" i="8" s="1"/>
  <c r="O61" i="8"/>
  <c r="R61" i="8" s="1"/>
  <c r="O60" i="8"/>
  <c r="R60" i="8" s="1"/>
  <c r="O59" i="8"/>
  <c r="R59" i="8" s="1"/>
  <c r="O58" i="8"/>
  <c r="R58" i="8" s="1"/>
  <c r="O57" i="8"/>
  <c r="R57" i="8" s="1"/>
  <c r="O56" i="8"/>
  <c r="R56" i="8" s="1"/>
  <c r="O44" i="8"/>
  <c r="R44" i="8" s="1"/>
  <c r="O43" i="8"/>
  <c r="R43" i="8" s="1"/>
  <c r="O42" i="8"/>
  <c r="R42" i="8" s="1"/>
  <c r="O41" i="8"/>
  <c r="R41" i="8" s="1"/>
  <c r="O40" i="8"/>
  <c r="R40" i="8" s="1"/>
  <c r="O39" i="8"/>
  <c r="R39" i="8" s="1"/>
  <c r="O38" i="8"/>
  <c r="R38" i="8" s="1"/>
  <c r="O37" i="8"/>
  <c r="R37" i="8" s="1"/>
  <c r="O36" i="8"/>
  <c r="R36" i="8" s="1"/>
  <c r="O35" i="8"/>
  <c r="R35" i="8" s="1"/>
  <c r="O15" i="8"/>
  <c r="R15" i="8" s="1"/>
  <c r="O21" i="8"/>
  <c r="R21" i="8" s="1"/>
  <c r="O20" i="8"/>
  <c r="R20" i="8" s="1"/>
  <c r="O19" i="8"/>
  <c r="R19" i="8" s="1"/>
  <c r="O18" i="8"/>
  <c r="R18" i="8" s="1"/>
  <c r="O17" i="8"/>
  <c r="R17" i="8" s="1"/>
  <c r="O16" i="8"/>
  <c r="R16" i="8" s="1"/>
  <c r="E444" i="8"/>
  <c r="H444" i="8" s="1"/>
  <c r="E443" i="8"/>
  <c r="H443" i="8" s="1"/>
  <c r="E442" i="8"/>
  <c r="H442" i="8" s="1"/>
  <c r="E441" i="8"/>
  <c r="H441" i="8" s="1"/>
  <c r="E440" i="8"/>
  <c r="H440" i="8" s="1"/>
  <c r="E439" i="8"/>
  <c r="H439" i="8" s="1"/>
  <c r="E438" i="8"/>
  <c r="H438" i="8" s="1"/>
  <c r="E426" i="8"/>
  <c r="H426" i="8" s="1"/>
  <c r="E425" i="8"/>
  <c r="H425" i="8" s="1"/>
  <c r="E424" i="8"/>
  <c r="H424" i="8" s="1"/>
  <c r="E423" i="8"/>
  <c r="H423" i="8" s="1"/>
  <c r="E422" i="8"/>
  <c r="H422" i="8" s="1"/>
  <c r="E421" i="8"/>
  <c r="H421" i="8" s="1"/>
  <c r="E420" i="8"/>
  <c r="H420" i="8" s="1"/>
  <c r="E419" i="8"/>
  <c r="H419" i="8" s="1"/>
  <c r="E418" i="8"/>
  <c r="H418" i="8" s="1"/>
  <c r="E404" i="8"/>
  <c r="H404" i="8" s="1"/>
  <c r="E403" i="8"/>
  <c r="H403" i="8" s="1"/>
  <c r="E402" i="8"/>
  <c r="H402" i="8" s="1"/>
  <c r="E401" i="8"/>
  <c r="H401" i="8" s="1"/>
  <c r="E400" i="8"/>
  <c r="H400" i="8" s="1"/>
  <c r="E399" i="8"/>
  <c r="H399" i="8" s="1"/>
  <c r="E398" i="8"/>
  <c r="H398" i="8" s="1"/>
  <c r="E387" i="8"/>
  <c r="H387" i="8" s="1"/>
  <c r="E386" i="8"/>
  <c r="H386" i="8" s="1"/>
  <c r="E385" i="8"/>
  <c r="H385" i="8" s="1"/>
  <c r="E384" i="8"/>
  <c r="H384" i="8" s="1"/>
  <c r="E383" i="8"/>
  <c r="H383" i="8" s="1"/>
  <c r="E382" i="8"/>
  <c r="H382" i="8" s="1"/>
  <c r="E381" i="8"/>
  <c r="H381" i="8" s="1"/>
  <c r="E380" i="8"/>
  <c r="H380" i="8" s="1"/>
  <c r="E379" i="8"/>
  <c r="H379" i="8" s="1"/>
  <c r="E378" i="8"/>
  <c r="H378" i="8" s="1"/>
  <c r="E366" i="8"/>
  <c r="H366" i="8" s="1"/>
  <c r="E365" i="8"/>
  <c r="H365" i="8" s="1"/>
  <c r="E364" i="8"/>
  <c r="H364" i="8" s="1"/>
  <c r="E363" i="8"/>
  <c r="H363" i="8" s="1"/>
  <c r="E362" i="8"/>
  <c r="H362" i="8" s="1"/>
  <c r="E361" i="8"/>
  <c r="H361" i="8" s="1"/>
  <c r="E360" i="8"/>
  <c r="H360" i="8" s="1"/>
  <c r="E359" i="8"/>
  <c r="H359" i="8" s="1"/>
  <c r="E358" i="8"/>
  <c r="H358" i="8" s="1"/>
  <c r="E357" i="8"/>
  <c r="H357" i="8" s="1"/>
  <c r="E346" i="8"/>
  <c r="H346" i="8" s="1"/>
  <c r="E345" i="8"/>
  <c r="H345" i="8" s="1"/>
  <c r="E344" i="8"/>
  <c r="H344" i="8" s="1"/>
  <c r="E343" i="8"/>
  <c r="H343" i="8" s="1"/>
  <c r="E342" i="8"/>
  <c r="H342" i="8" s="1"/>
  <c r="E341" i="8"/>
  <c r="H341" i="8" s="1"/>
  <c r="E340" i="8"/>
  <c r="H340" i="8" s="1"/>
  <c r="E339" i="8"/>
  <c r="H339" i="8" s="1"/>
  <c r="E338" i="8"/>
  <c r="H338" i="8" s="1"/>
  <c r="E337" i="8"/>
  <c r="H337" i="8" s="1"/>
  <c r="E323" i="8"/>
  <c r="H323" i="8" s="1"/>
  <c r="E322" i="8"/>
  <c r="H322" i="8" s="1"/>
  <c r="E321" i="8"/>
  <c r="H321" i="8" s="1"/>
  <c r="E320" i="8"/>
  <c r="H320" i="8" s="1"/>
  <c r="E319" i="8"/>
  <c r="H319" i="8" s="1"/>
  <c r="E318" i="8"/>
  <c r="H318" i="8" s="1"/>
  <c r="E317" i="8"/>
  <c r="H317" i="8" s="1"/>
  <c r="E302" i="8"/>
  <c r="H302" i="8" s="1"/>
  <c r="E301" i="8"/>
  <c r="H301" i="8" s="1"/>
  <c r="E300" i="8"/>
  <c r="H300" i="8" s="1"/>
  <c r="E299" i="8"/>
  <c r="H299" i="8" s="1"/>
  <c r="E298" i="8"/>
  <c r="H298" i="8" s="1"/>
  <c r="E297" i="8"/>
  <c r="H297" i="8" s="1"/>
  <c r="E296" i="8"/>
  <c r="H296" i="8" s="1"/>
  <c r="E281" i="8"/>
  <c r="H281" i="8" s="1"/>
  <c r="E280" i="8"/>
  <c r="H280" i="8" s="1"/>
  <c r="E279" i="8"/>
  <c r="H279" i="8" s="1"/>
  <c r="E278" i="8"/>
  <c r="H278" i="8" s="1"/>
  <c r="E277" i="8"/>
  <c r="H277" i="8" s="1"/>
  <c r="E276" i="8"/>
  <c r="H276" i="8" s="1"/>
  <c r="E275" i="8"/>
  <c r="H275" i="8" s="1"/>
  <c r="E261" i="8"/>
  <c r="H261" i="8" s="1"/>
  <c r="E260" i="8"/>
  <c r="H260" i="8" s="1"/>
  <c r="E259" i="8"/>
  <c r="H259" i="8" s="1"/>
  <c r="E258" i="8"/>
  <c r="H258" i="8" s="1"/>
  <c r="E257" i="8"/>
  <c r="H257" i="8" s="1"/>
  <c r="E256" i="8"/>
  <c r="H256" i="8" s="1"/>
  <c r="E255" i="8"/>
  <c r="H255" i="8" s="1"/>
  <c r="E241" i="8"/>
  <c r="H241" i="8" s="1"/>
  <c r="E240" i="8"/>
  <c r="H240" i="8" s="1"/>
  <c r="E239" i="8"/>
  <c r="H239" i="8" s="1"/>
  <c r="E238" i="8"/>
  <c r="H238" i="8" s="1"/>
  <c r="E237" i="8"/>
  <c r="H237" i="8" s="1"/>
  <c r="E236" i="8"/>
  <c r="H236" i="8" s="1"/>
  <c r="E235" i="8"/>
  <c r="H235" i="8" s="1"/>
  <c r="E220" i="8"/>
  <c r="H220" i="8" s="1"/>
  <c r="E219" i="8"/>
  <c r="H219" i="8" s="1"/>
  <c r="E218" i="8"/>
  <c r="H218" i="8" s="1"/>
  <c r="E217" i="8"/>
  <c r="H217" i="8" s="1"/>
  <c r="E216" i="8"/>
  <c r="H216" i="8" s="1"/>
  <c r="E215" i="8"/>
  <c r="H215" i="8" s="1"/>
  <c r="E214" i="8"/>
  <c r="H214" i="8" s="1"/>
  <c r="E200" i="8"/>
  <c r="H200" i="8" s="1"/>
  <c r="E199" i="8"/>
  <c r="H199" i="8" s="1"/>
  <c r="E198" i="8"/>
  <c r="H198" i="8" s="1"/>
  <c r="E197" i="8"/>
  <c r="H197" i="8" s="1"/>
  <c r="E196" i="8"/>
  <c r="H196" i="8" s="1"/>
  <c r="E195" i="8"/>
  <c r="H195" i="8" s="1"/>
  <c r="E194" i="8"/>
  <c r="H194" i="8" s="1"/>
  <c r="E182" i="8"/>
  <c r="H182" i="8" s="1"/>
  <c r="E181" i="8"/>
  <c r="H181" i="8" s="1"/>
  <c r="E180" i="8"/>
  <c r="H180" i="8" s="1"/>
  <c r="E179" i="8"/>
  <c r="H179" i="8" s="1"/>
  <c r="E178" i="8"/>
  <c r="H178" i="8" s="1"/>
  <c r="E177" i="8"/>
  <c r="H177" i="8" s="1"/>
  <c r="E176" i="8"/>
  <c r="H176" i="8" s="1"/>
  <c r="E161" i="8"/>
  <c r="H161" i="8" s="1"/>
  <c r="E160" i="8"/>
  <c r="H160" i="8" s="1"/>
  <c r="E159" i="8"/>
  <c r="H159" i="8" s="1"/>
  <c r="E158" i="8"/>
  <c r="H158" i="8" s="1"/>
  <c r="E157" i="8"/>
  <c r="H157" i="8" s="1"/>
  <c r="E156" i="8"/>
  <c r="H156" i="8" s="1"/>
  <c r="E155" i="8"/>
  <c r="H155" i="8" s="1"/>
  <c r="E141" i="8"/>
  <c r="H141" i="8" s="1"/>
  <c r="E140" i="8"/>
  <c r="H140" i="8" s="1"/>
  <c r="E139" i="8"/>
  <c r="H139" i="8" s="1"/>
  <c r="E138" i="8"/>
  <c r="H138" i="8" s="1"/>
  <c r="E137" i="8"/>
  <c r="H137" i="8" s="1"/>
  <c r="E136" i="8"/>
  <c r="H136" i="8" s="1"/>
  <c r="E135" i="8"/>
  <c r="H135" i="8" s="1"/>
  <c r="E121" i="8"/>
  <c r="H121" i="8" s="1"/>
  <c r="E120" i="8"/>
  <c r="H120" i="8" s="1"/>
  <c r="E119" i="8"/>
  <c r="H119" i="8" s="1"/>
  <c r="E118" i="8"/>
  <c r="H118" i="8" s="1"/>
  <c r="E117" i="8"/>
  <c r="H117" i="8" s="1"/>
  <c r="E116" i="8"/>
  <c r="H116" i="8" s="1"/>
  <c r="E115" i="8"/>
  <c r="H115" i="8" s="1"/>
  <c r="E101" i="8"/>
  <c r="H101" i="8" s="1"/>
  <c r="E100" i="8"/>
  <c r="H100" i="8" s="1"/>
  <c r="E99" i="8"/>
  <c r="H99" i="8" s="1"/>
  <c r="E98" i="8"/>
  <c r="H98" i="8" s="1"/>
  <c r="E97" i="8"/>
  <c r="H97" i="8" s="1"/>
  <c r="E96" i="8"/>
  <c r="H96" i="8" s="1"/>
  <c r="E95" i="8"/>
  <c r="H95" i="8" s="1"/>
  <c r="E81" i="8"/>
  <c r="H81" i="8" s="1"/>
  <c r="E80" i="8"/>
  <c r="H80" i="8" s="1"/>
  <c r="E79" i="8"/>
  <c r="H79" i="8" s="1"/>
  <c r="E78" i="8"/>
  <c r="H78" i="8" s="1"/>
  <c r="E77" i="8"/>
  <c r="H77" i="8" s="1"/>
  <c r="E76" i="8"/>
  <c r="H76" i="8" s="1"/>
  <c r="E75" i="8"/>
  <c r="H75" i="8" s="1"/>
  <c r="E61" i="8"/>
  <c r="H61" i="8" s="1"/>
  <c r="E60" i="8"/>
  <c r="H60" i="8" s="1"/>
  <c r="E59" i="8"/>
  <c r="H59" i="8" s="1"/>
  <c r="E58" i="8"/>
  <c r="H58" i="8" s="1"/>
  <c r="E57" i="8"/>
  <c r="H57" i="8" s="1"/>
  <c r="E56" i="8"/>
  <c r="H56" i="8" s="1"/>
  <c r="E55" i="8"/>
  <c r="H55" i="8" s="1"/>
  <c r="E41" i="8"/>
  <c r="H41" i="8" s="1"/>
  <c r="E40" i="8"/>
  <c r="H40" i="8" s="1"/>
  <c r="E39" i="8"/>
  <c r="H39" i="8" s="1"/>
  <c r="E38" i="8"/>
  <c r="H38" i="8" s="1"/>
  <c r="E37" i="8"/>
  <c r="H37" i="8" s="1"/>
  <c r="E36" i="8"/>
  <c r="H36" i="8" s="1"/>
  <c r="E35" i="8"/>
  <c r="H35" i="8" s="1"/>
  <c r="E21" i="8"/>
  <c r="H21" i="8" s="1"/>
  <c r="E20" i="8"/>
  <c r="H20" i="8" s="1"/>
  <c r="E19" i="8"/>
  <c r="H19" i="8" s="1"/>
  <c r="E18" i="8"/>
  <c r="H18" i="8" s="1"/>
  <c r="E17" i="8"/>
  <c r="H17" i="8" s="1"/>
  <c r="E16" i="8"/>
  <c r="H16" i="8" s="1"/>
  <c r="E15" i="8"/>
  <c r="H15" i="8" s="1"/>
  <c r="V4" i="19" l="1"/>
  <c r="AD127" i="10"/>
  <c r="H146" i="10"/>
  <c r="D149" i="10" s="1"/>
  <c r="H149" i="10" s="1"/>
  <c r="D150" i="10" s="1"/>
  <c r="H150" i="10" s="1"/>
  <c r="Z51" i="18"/>
  <c r="V54" i="18" s="1"/>
  <c r="Z54" i="18" s="1"/>
  <c r="V55" i="18" s="1"/>
  <c r="Z55" i="18" s="1"/>
  <c r="E36" i="19"/>
  <c r="F36" i="19" s="1"/>
  <c r="H36" i="19" s="1"/>
  <c r="I36" i="19" s="1"/>
  <c r="F36" i="20"/>
  <c r="H36" i="20" s="1"/>
  <c r="I36" i="20" s="1"/>
  <c r="Q30" i="19"/>
  <c r="R30" i="19" s="1"/>
  <c r="T30" i="19" s="1"/>
  <c r="V30" i="19" s="1"/>
  <c r="R17" i="21"/>
  <c r="T17" i="21" s="1"/>
  <c r="U17" i="21" s="1"/>
  <c r="F19" i="21"/>
  <c r="H19" i="21" s="1"/>
  <c r="I19" i="21" s="1"/>
  <c r="Q13" i="21"/>
  <c r="R13" i="21" s="1"/>
  <c r="T13" i="21" s="1"/>
  <c r="U13" i="21" s="1"/>
  <c r="R33" i="21"/>
  <c r="T33" i="21" s="1"/>
  <c r="U33" i="21" s="1"/>
  <c r="E4" i="21"/>
  <c r="F4" i="21" s="1"/>
  <c r="H4" i="21" s="1"/>
  <c r="I4" i="21" s="1"/>
  <c r="F34" i="21"/>
  <c r="H34" i="21" s="1"/>
  <c r="I34" i="21" s="1"/>
  <c r="Q5" i="21"/>
  <c r="R5" i="21" s="1"/>
  <c r="T5" i="21" s="1"/>
  <c r="U5" i="21" s="1"/>
  <c r="Q11" i="21"/>
  <c r="R11" i="21" s="1"/>
  <c r="T11" i="21" s="1"/>
  <c r="U11" i="21" s="1"/>
  <c r="R20" i="21"/>
  <c r="T20" i="21" s="1"/>
  <c r="U20" i="21" s="1"/>
  <c r="Q26" i="21"/>
  <c r="R26" i="21" s="1"/>
  <c r="T26" i="21" s="1"/>
  <c r="U26" i="21" s="1"/>
  <c r="Q9" i="21"/>
  <c r="R9" i="21" s="1"/>
  <c r="T9" i="21" s="1"/>
  <c r="U9" i="21" s="1"/>
  <c r="Q24" i="21"/>
  <c r="R24" i="21" s="1"/>
  <c r="T24" i="21" s="1"/>
  <c r="U24" i="21" s="1"/>
  <c r="Q15" i="21"/>
  <c r="R15" i="21" s="1"/>
  <c r="T15" i="21" s="1"/>
  <c r="U15" i="21" s="1"/>
  <c r="Q30" i="21"/>
  <c r="R30" i="21" s="1"/>
  <c r="T30" i="21" s="1"/>
  <c r="U30" i="21" s="1"/>
  <c r="Q6" i="21"/>
  <c r="R6" i="21" s="1"/>
  <c r="T6" i="21" s="1"/>
  <c r="U6" i="21" s="1"/>
  <c r="Q21" i="21"/>
  <c r="R21" i="21" s="1"/>
  <c r="T21" i="21" s="1"/>
  <c r="U21" i="21" s="1"/>
  <c r="Q27" i="21"/>
  <c r="R27" i="21" s="1"/>
  <c r="T27" i="21" s="1"/>
  <c r="U27" i="21" s="1"/>
  <c r="Q4" i="21"/>
  <c r="R4" i="21" s="1"/>
  <c r="T4" i="21" s="1"/>
  <c r="U4" i="21" s="1"/>
  <c r="Q19" i="21"/>
  <c r="R19" i="21" s="1"/>
  <c r="T19" i="21" s="1"/>
  <c r="U19" i="21" s="1"/>
  <c r="Q34" i="21"/>
  <c r="R34" i="21" s="1"/>
  <c r="T34" i="21" s="1"/>
  <c r="U34" i="21" s="1"/>
  <c r="Q10" i="21"/>
  <c r="R10" i="21" s="1"/>
  <c r="T10" i="21" s="1"/>
  <c r="U10" i="21" s="1"/>
  <c r="Q25" i="21"/>
  <c r="R25" i="21" s="1"/>
  <c r="T25" i="21" s="1"/>
  <c r="U25" i="21" s="1"/>
  <c r="Q16" i="21"/>
  <c r="R16" i="21" s="1"/>
  <c r="T16" i="21" s="1"/>
  <c r="U16" i="21" s="1"/>
  <c r="Q32" i="21"/>
  <c r="R32" i="21" s="1"/>
  <c r="T32" i="21" s="1"/>
  <c r="U32" i="21" s="1"/>
  <c r="F20" i="21"/>
  <c r="H20" i="21" s="1"/>
  <c r="I20" i="21" s="1"/>
  <c r="E9" i="21"/>
  <c r="F9" i="21" s="1"/>
  <c r="H9" i="21" s="1"/>
  <c r="I9" i="21" s="1"/>
  <c r="E30" i="21"/>
  <c r="F30" i="21" s="1"/>
  <c r="H30" i="21" s="1"/>
  <c r="I30" i="21" s="1"/>
  <c r="E29" i="21"/>
  <c r="F29" i="21" s="1"/>
  <c r="H29" i="21" s="1"/>
  <c r="I29" i="21" s="1"/>
  <c r="E5" i="21"/>
  <c r="F5" i="21" s="1"/>
  <c r="H5" i="21" s="1"/>
  <c r="I5" i="21" s="1"/>
  <c r="F14" i="21"/>
  <c r="H14" i="21" s="1"/>
  <c r="I14" i="21" s="1"/>
  <c r="E24" i="21"/>
  <c r="F24" i="21" s="1"/>
  <c r="H24" i="21" s="1"/>
  <c r="I24" i="21" s="1"/>
  <c r="E20" i="21"/>
  <c r="E15" i="21"/>
  <c r="F15" i="21" s="1"/>
  <c r="H15" i="21" s="1"/>
  <c r="I15" i="21" s="1"/>
  <c r="E6" i="21"/>
  <c r="F6" i="21" s="1"/>
  <c r="H6" i="21" s="1"/>
  <c r="I6" i="21" s="1"/>
  <c r="E21" i="21"/>
  <c r="F21" i="21" s="1"/>
  <c r="H21" i="21" s="1"/>
  <c r="I21" i="21" s="1"/>
  <c r="E10" i="21"/>
  <c r="F10" i="21" s="1"/>
  <c r="H10" i="21" s="1"/>
  <c r="I10" i="21" s="1"/>
  <c r="E25" i="21"/>
  <c r="F25" i="21" s="1"/>
  <c r="H25" i="21" s="1"/>
  <c r="I25" i="21" s="1"/>
  <c r="F32" i="19"/>
  <c r="H32" i="19" s="1"/>
  <c r="I32" i="19" s="1"/>
  <c r="F30" i="20"/>
  <c r="H30" i="20" s="1"/>
  <c r="Z32" i="18"/>
  <c r="V35" i="18" s="1"/>
  <c r="Z35" i="18" s="1"/>
  <c r="V36" i="18" s="1"/>
  <c r="Z36" i="18" s="1"/>
  <c r="Z13" i="18"/>
  <c r="V16" i="18" s="1"/>
  <c r="Z16" i="18" s="1"/>
  <c r="V17" i="18" s="1"/>
  <c r="Z17" i="18" s="1"/>
  <c r="E117" i="10"/>
  <c r="H117" i="10" s="1"/>
  <c r="H127" i="10" s="1"/>
  <c r="D130" i="10" s="1"/>
  <c r="H130" i="10" s="1"/>
  <c r="D131" i="10" s="1"/>
  <c r="H131" i="10" s="1"/>
  <c r="H127" i="18"/>
  <c r="D130" i="18" s="1"/>
  <c r="H130" i="18" s="1"/>
  <c r="D131" i="18" s="1"/>
  <c r="H131" i="18" s="1"/>
  <c r="Q108" i="18"/>
  <c r="M111" i="18" s="1"/>
  <c r="Q111" i="18" s="1"/>
  <c r="M112" i="18" s="1"/>
  <c r="Q112" i="18" s="1"/>
  <c r="Q89" i="18"/>
  <c r="M92" i="18" s="1"/>
  <c r="Q92" i="18" s="1"/>
  <c r="M93" i="18" s="1"/>
  <c r="Q93" i="18" s="1"/>
  <c r="E79" i="10"/>
  <c r="H79" i="10" s="1"/>
  <c r="H89" i="10" s="1"/>
  <c r="D92" i="10" s="1"/>
  <c r="H92" i="10" s="1"/>
  <c r="D93" i="10" s="1"/>
  <c r="H93" i="10" s="1"/>
  <c r="E98" i="10"/>
  <c r="H98" i="10" s="1"/>
  <c r="H108" i="10" s="1"/>
  <c r="D111" i="10" s="1"/>
  <c r="H111" i="10" s="1"/>
  <c r="D112" i="10" s="1"/>
  <c r="H112" i="10" s="1"/>
  <c r="H108" i="18"/>
  <c r="D111" i="18" s="1"/>
  <c r="H111" i="18" s="1"/>
  <c r="D112" i="18" s="1"/>
  <c r="H112" i="18" s="1"/>
  <c r="H89" i="18"/>
  <c r="D92" i="18" s="1"/>
  <c r="H92" i="18" s="1"/>
  <c r="D93" i="18" s="1"/>
  <c r="H93" i="18" s="1"/>
  <c r="I22" i="3"/>
  <c r="J22" i="3" s="1"/>
  <c r="G22" i="3"/>
  <c r="I9" i="3"/>
  <c r="J9" i="3" s="1"/>
  <c r="G9" i="3"/>
  <c r="S19" i="3"/>
  <c r="I23" i="3"/>
  <c r="J23" i="3" s="1"/>
  <c r="G23" i="3"/>
  <c r="I36" i="3"/>
  <c r="J36" i="3" s="1"/>
  <c r="G36" i="3"/>
  <c r="T15" i="3"/>
  <c r="V15" i="3"/>
  <c r="W15" i="3" s="1"/>
  <c r="V32" i="3"/>
  <c r="W32" i="3" s="1"/>
  <c r="T32" i="3"/>
  <c r="S33" i="3"/>
  <c r="I38" i="3"/>
  <c r="J38" i="3" s="1"/>
  <c r="G38" i="3"/>
  <c r="F13" i="3"/>
  <c r="V16" i="3"/>
  <c r="W16" i="3" s="1"/>
  <c r="T16" i="3"/>
  <c r="V29" i="3"/>
  <c r="W29" i="3" s="1"/>
  <c r="T29" i="3"/>
  <c r="R19" i="3"/>
  <c r="F27" i="3"/>
  <c r="V30" i="3"/>
  <c r="W30" i="3" s="1"/>
  <c r="E11" i="3"/>
  <c r="F11" i="3" s="1"/>
  <c r="F14" i="3"/>
  <c r="R17" i="3"/>
  <c r="S17" i="3" s="1"/>
  <c r="F20" i="3"/>
  <c r="G26" i="3"/>
  <c r="E28" i="3"/>
  <c r="F28" i="3" s="1"/>
  <c r="E10" i="3"/>
  <c r="F10" i="3" s="1"/>
  <c r="R20" i="3"/>
  <c r="S20" i="3" s="1"/>
  <c r="S28" i="3"/>
  <c r="F30" i="3"/>
  <c r="R34" i="3"/>
  <c r="S34" i="3" s="1"/>
  <c r="F7" i="3"/>
  <c r="R8" i="3"/>
  <c r="S8" i="3" s="1"/>
  <c r="E13" i="3"/>
  <c r="E24" i="3"/>
  <c r="F24" i="3" s="1"/>
  <c r="E15" i="3"/>
  <c r="F15" i="3" s="1"/>
  <c r="F21" i="3"/>
  <c r="S22" i="3"/>
  <c r="R22" i="3"/>
  <c r="S13" i="3"/>
  <c r="R33" i="3"/>
  <c r="E29" i="3"/>
  <c r="F29" i="3" s="1"/>
  <c r="R7" i="3"/>
  <c r="S7" i="3" s="1"/>
  <c r="F17" i="3"/>
  <c r="R35" i="3"/>
  <c r="S35" i="3" s="1"/>
  <c r="S21" i="3"/>
  <c r="S9" i="3"/>
  <c r="R9" i="3"/>
  <c r="E30" i="3"/>
  <c r="R38" i="3"/>
  <c r="S38" i="3" s="1"/>
  <c r="R10" i="3"/>
  <c r="S10" i="3" s="1"/>
  <c r="E17" i="3"/>
  <c r="S23" i="3"/>
  <c r="E19" i="3"/>
  <c r="F19" i="3" s="1"/>
  <c r="S24" i="3"/>
  <c r="R26" i="3"/>
  <c r="S26" i="3" s="1"/>
  <c r="F32" i="3"/>
  <c r="E33" i="3"/>
  <c r="F33" i="3" s="1"/>
  <c r="S11" i="3"/>
  <c r="R13" i="3"/>
  <c r="E20" i="3"/>
  <c r="E7" i="3"/>
  <c r="R14" i="3"/>
  <c r="S14" i="3" s="1"/>
  <c r="E21" i="3"/>
  <c r="S27" i="3"/>
  <c r="R28" i="3"/>
  <c r="F34" i="3"/>
  <c r="E35" i="3"/>
  <c r="F35" i="3" s="1"/>
  <c r="R36" i="3"/>
  <c r="S36" i="3" s="1"/>
  <c r="E16" i="3"/>
  <c r="F16" i="3" s="1"/>
  <c r="E15" i="20"/>
  <c r="F15" i="20" s="1"/>
  <c r="E20" i="20"/>
  <c r="F20" i="20" s="1"/>
  <c r="E24" i="20"/>
  <c r="F24" i="20" s="1"/>
  <c r="E13" i="20"/>
  <c r="F13" i="20" s="1"/>
  <c r="E27" i="20"/>
  <c r="F27" i="20" s="1"/>
  <c r="E6" i="20"/>
  <c r="F6" i="20" s="1"/>
  <c r="E10" i="20"/>
  <c r="F10" i="20" s="1"/>
  <c r="E17" i="20"/>
  <c r="F17" i="20" s="1"/>
  <c r="E25" i="20"/>
  <c r="F25" i="20" s="1"/>
  <c r="E14" i="20"/>
  <c r="F14" i="20" s="1"/>
  <c r="E16" i="20"/>
  <c r="F16" i="20" s="1"/>
  <c r="E19" i="20"/>
  <c r="F19" i="20" s="1"/>
  <c r="E21" i="20"/>
  <c r="F21" i="20" s="1"/>
  <c r="E22" i="20"/>
  <c r="F22" i="20" s="1"/>
  <c r="E5" i="20"/>
  <c r="F5" i="20" s="1"/>
  <c r="E8" i="20"/>
  <c r="F8" i="20" s="1"/>
  <c r="E9" i="20"/>
  <c r="F9" i="20" s="1"/>
  <c r="E11" i="20"/>
  <c r="F11" i="20" s="1"/>
  <c r="E26" i="20"/>
  <c r="F26" i="20" s="1"/>
  <c r="E29" i="20"/>
  <c r="F29" i="20" s="1"/>
  <c r="E15" i="19"/>
  <c r="F15" i="19" s="1"/>
  <c r="H15" i="19" s="1"/>
  <c r="I15" i="19" s="1"/>
  <c r="E17" i="19"/>
  <c r="F17" i="19" s="1"/>
  <c r="H17" i="19" s="1"/>
  <c r="I17" i="19" s="1"/>
  <c r="E20" i="19"/>
  <c r="F20" i="19" s="1"/>
  <c r="H20" i="19" s="1"/>
  <c r="I20" i="19" s="1"/>
  <c r="E25" i="19"/>
  <c r="F25" i="19" s="1"/>
  <c r="H25" i="19" s="1"/>
  <c r="I25" i="19" s="1"/>
  <c r="E27" i="19"/>
  <c r="F27" i="19" s="1"/>
  <c r="H27" i="19" s="1"/>
  <c r="I27" i="19" s="1"/>
  <c r="E13" i="19"/>
  <c r="F13" i="19" s="1"/>
  <c r="H13" i="19" s="1"/>
  <c r="I13" i="19" s="1"/>
  <c r="F4" i="19"/>
  <c r="H4" i="19" s="1"/>
  <c r="I4" i="19" s="1"/>
  <c r="F6" i="19"/>
  <c r="H6" i="19" s="1"/>
  <c r="I6" i="19" s="1"/>
  <c r="F10" i="19"/>
  <c r="H10" i="19" s="1"/>
  <c r="I10" i="19" s="1"/>
  <c r="E14" i="19"/>
  <c r="F14" i="19" s="1"/>
  <c r="H14" i="19" s="1"/>
  <c r="I14" i="19" s="1"/>
  <c r="E16" i="19"/>
  <c r="F16" i="19" s="1"/>
  <c r="H16" i="19" s="1"/>
  <c r="I16" i="19" s="1"/>
  <c r="E19" i="19"/>
  <c r="F19" i="19" s="1"/>
  <c r="H19" i="19" s="1"/>
  <c r="I19" i="19" s="1"/>
  <c r="E24" i="19"/>
  <c r="F24" i="19" s="1"/>
  <c r="H24" i="19" s="1"/>
  <c r="I24" i="19" s="1"/>
  <c r="E26" i="19"/>
  <c r="F26" i="19" s="1"/>
  <c r="H26" i="19" s="1"/>
  <c r="I26" i="19" s="1"/>
  <c r="E29" i="19"/>
  <c r="F29" i="19" s="1"/>
  <c r="H29" i="19" s="1"/>
  <c r="I29" i="19" s="1"/>
  <c r="E5" i="19"/>
  <c r="F5" i="19" s="1"/>
  <c r="H5" i="19" s="1"/>
  <c r="I5" i="19" s="1"/>
  <c r="E8" i="19"/>
  <c r="F8" i="19" s="1"/>
  <c r="H8" i="19" s="1"/>
  <c r="I8" i="19" s="1"/>
  <c r="E9" i="19"/>
  <c r="F9" i="19" s="1"/>
  <c r="H9" i="19" s="1"/>
  <c r="I9" i="19" s="1"/>
  <c r="E11" i="19"/>
  <c r="F11" i="19" s="1"/>
  <c r="H11" i="19" s="1"/>
  <c r="I11" i="19" s="1"/>
  <c r="F21" i="19"/>
  <c r="H21" i="19" s="1"/>
  <c r="I21" i="19" s="1"/>
  <c r="Q51" i="18"/>
  <c r="M54" i="18" s="1"/>
  <c r="Q54" i="18" s="1"/>
  <c r="M55" i="18" s="1"/>
  <c r="Q55" i="18" s="1"/>
  <c r="Q32" i="18"/>
  <c r="M35" i="18" s="1"/>
  <c r="Q35" i="18" s="1"/>
  <c r="M36" i="18" s="1"/>
  <c r="Q36" i="18" s="1"/>
  <c r="H13" i="18"/>
  <c r="D16" i="18" s="1"/>
  <c r="H16" i="18" s="1"/>
  <c r="D17" i="18" s="1"/>
  <c r="H17" i="18" s="1"/>
  <c r="E22" i="10"/>
  <c r="H22" i="10" s="1"/>
  <c r="H32" i="10" s="1"/>
  <c r="D35" i="10" s="1"/>
  <c r="H35" i="10" s="1"/>
  <c r="D36" i="10" s="1"/>
  <c r="H36" i="10" s="1"/>
  <c r="E60" i="10"/>
  <c r="H60" i="10" s="1"/>
  <c r="H70" i="10" s="1"/>
  <c r="E41" i="10"/>
  <c r="H41" i="10" s="1"/>
  <c r="H51" i="10" s="1"/>
  <c r="D54" i="10" s="1"/>
  <c r="H54" i="10" s="1"/>
  <c r="D55" i="10" s="1"/>
  <c r="H55" i="10" s="1"/>
  <c r="E3" i="10"/>
  <c r="H3" i="10" s="1"/>
  <c r="H13" i="10" s="1"/>
  <c r="D16" i="10" s="1"/>
  <c r="H16" i="10" s="1"/>
  <c r="D17" i="10" s="1"/>
  <c r="H17" i="10" s="1"/>
  <c r="Q70" i="18"/>
  <c r="M73" i="18" s="1"/>
  <c r="Q73" i="18" s="1"/>
  <c r="M74" i="18" s="1"/>
  <c r="Q74" i="18" s="1"/>
  <c r="Q13" i="18"/>
  <c r="M16" i="18" s="1"/>
  <c r="Q16" i="18" s="1"/>
  <c r="M17" i="18" s="1"/>
  <c r="Q17" i="18" s="1"/>
  <c r="H70" i="18"/>
  <c r="D73" i="18" s="1"/>
  <c r="H73" i="18" s="1"/>
  <c r="D74" i="18" s="1"/>
  <c r="H74" i="18" s="1"/>
  <c r="H51" i="18"/>
  <c r="D54" i="18" s="1"/>
  <c r="H54" i="18" s="1"/>
  <c r="D55" i="18" s="1"/>
  <c r="H55" i="18" s="1"/>
  <c r="H32" i="18"/>
  <c r="D35" i="18" s="1"/>
  <c r="H35" i="18" s="1"/>
  <c r="D36" i="18" s="1"/>
  <c r="H36" i="18" s="1"/>
  <c r="N79" i="10"/>
  <c r="Q79" i="10" s="1"/>
  <c r="Q89" i="10" s="1"/>
  <c r="AC105" i="10" s="1"/>
  <c r="N60" i="10"/>
  <c r="Q60" i="10" s="1"/>
  <c r="Q70" i="10" s="1"/>
  <c r="AC104" i="10" s="1"/>
  <c r="AA347" i="8"/>
  <c r="W350" i="8" s="1"/>
  <c r="AA350" i="8" s="1"/>
  <c r="W351" i="8" s="1"/>
  <c r="AA351" i="8" s="1"/>
  <c r="AA353" i="8" s="1"/>
  <c r="Q347" i="8"/>
  <c r="M350" i="8" s="1"/>
  <c r="Q350" i="8" s="1"/>
  <c r="M351" i="8" s="1"/>
  <c r="Q351" i="8" s="1"/>
  <c r="Q353" i="8" s="1"/>
  <c r="AA408" i="8"/>
  <c r="W411" i="8" s="1"/>
  <c r="AA411" i="8" s="1"/>
  <c r="W412" i="8" s="1"/>
  <c r="AA412" i="8" s="1"/>
  <c r="AA414" i="8" s="1"/>
  <c r="Q408" i="8"/>
  <c r="M411" i="8" s="1"/>
  <c r="Q411" i="8" s="1"/>
  <c r="M412" i="8" s="1"/>
  <c r="Q412" i="8" s="1"/>
  <c r="Q414" i="8" s="1"/>
  <c r="AA265" i="8"/>
  <c r="W268" i="8" s="1"/>
  <c r="AA268" i="8" s="1"/>
  <c r="W269" i="8" s="1"/>
  <c r="AA269" i="8" s="1"/>
  <c r="AA271" i="8" s="1"/>
  <c r="Q125" i="8"/>
  <c r="M128" i="8" s="1"/>
  <c r="Q128" i="8" s="1"/>
  <c r="M129" i="8" s="1"/>
  <c r="Q129" i="8" s="1"/>
  <c r="Q131" i="8" s="1"/>
  <c r="N22" i="10"/>
  <c r="Q22" i="10" s="1"/>
  <c r="Q32" i="10" s="1"/>
  <c r="AC102" i="10" s="1"/>
  <c r="N41" i="10"/>
  <c r="Q41" i="10" s="1"/>
  <c r="Q51" i="10" s="1"/>
  <c r="AC103" i="10" s="1"/>
  <c r="N3" i="10"/>
  <c r="Q3" i="10" s="1"/>
  <c r="Q13" i="10" s="1"/>
  <c r="AC101" i="10" s="1"/>
  <c r="AA106" i="10"/>
  <c r="AC95" i="10" s="1"/>
  <c r="AA428" i="8"/>
  <c r="W431" i="8" s="1"/>
  <c r="AA431" i="8" s="1"/>
  <c r="W432" i="8" s="1"/>
  <c r="AA432" i="8" s="1"/>
  <c r="AA434" i="8" s="1"/>
  <c r="Q428" i="8"/>
  <c r="M431" i="8" s="1"/>
  <c r="Q431" i="8" s="1"/>
  <c r="M432" i="8" s="1"/>
  <c r="Q432" i="8" s="1"/>
  <c r="Q434" i="8" s="1"/>
  <c r="AA224" i="8"/>
  <c r="W227" i="8" s="1"/>
  <c r="AA227" i="8" s="1"/>
  <c r="W228" i="8" s="1"/>
  <c r="AA228" i="8" s="1"/>
  <c r="AA230" i="8" s="1"/>
  <c r="Q388" i="8"/>
  <c r="M391" i="8" s="1"/>
  <c r="Q391" i="8" s="1"/>
  <c r="M392" i="8" s="1"/>
  <c r="Q392" i="8" s="1"/>
  <c r="Q394" i="8" s="1"/>
  <c r="Q367" i="8"/>
  <c r="M370" i="8" s="1"/>
  <c r="Q370" i="8" s="1"/>
  <c r="M371" i="8" s="1"/>
  <c r="Q371" i="8" s="1"/>
  <c r="Q373" i="8" s="1"/>
  <c r="Q265" i="8"/>
  <c r="M268" i="8" s="1"/>
  <c r="Q268" i="8" s="1"/>
  <c r="M269" i="8" s="1"/>
  <c r="Q269" i="8" s="1"/>
  <c r="Q271" i="8" s="1"/>
  <c r="Q224" i="8"/>
  <c r="M227" i="8" s="1"/>
  <c r="Q227" i="8" s="1"/>
  <c r="M228" i="8" s="1"/>
  <c r="Q228" i="8" s="1"/>
  <c r="Q230" i="8" s="1"/>
  <c r="Q245" i="8"/>
  <c r="M248" i="8" s="1"/>
  <c r="Q248" i="8" s="1"/>
  <c r="M249" i="8" s="1"/>
  <c r="Q249" i="8" s="1"/>
  <c r="Q251" i="8" s="1"/>
  <c r="R66" i="8"/>
  <c r="N69" i="8" s="1"/>
  <c r="R69" i="8" s="1"/>
  <c r="N70" i="8" s="1"/>
  <c r="R70" i="8" s="1"/>
  <c r="R72" i="8" s="1"/>
  <c r="H388" i="8"/>
  <c r="D391" i="8" s="1"/>
  <c r="H391" i="8" s="1"/>
  <c r="D392" i="8" s="1"/>
  <c r="H392" i="8" s="1"/>
  <c r="H394" i="8" s="1"/>
  <c r="R45" i="8"/>
  <c r="N48" i="8" s="1"/>
  <c r="R48" i="8" s="1"/>
  <c r="N49" i="8" s="1"/>
  <c r="R49" i="8" s="1"/>
  <c r="R51" i="8" s="1"/>
  <c r="H245" i="8"/>
  <c r="D248" i="8" s="1"/>
  <c r="H248" i="8" s="1"/>
  <c r="H285" i="8"/>
  <c r="D288" i="8" s="1"/>
  <c r="H288" i="8" s="1"/>
  <c r="H265" i="8"/>
  <c r="D268" i="8" s="1"/>
  <c r="H268" i="8" s="1"/>
  <c r="H327" i="8"/>
  <c r="D330" i="8" s="1"/>
  <c r="H330" i="8" s="1"/>
  <c r="R25" i="8"/>
  <c r="N28" i="8" s="1"/>
  <c r="R28" i="8" s="1"/>
  <c r="H448" i="8"/>
  <c r="D451" i="8" s="1"/>
  <c r="H451" i="8" s="1"/>
  <c r="H428" i="8"/>
  <c r="D431" i="8" s="1"/>
  <c r="H431" i="8" s="1"/>
  <c r="H408" i="8"/>
  <c r="D411" i="8" s="1"/>
  <c r="H411" i="8" s="1"/>
  <c r="H347" i="8"/>
  <c r="D350" i="8" s="1"/>
  <c r="H350" i="8" s="1"/>
  <c r="H367" i="8"/>
  <c r="D370" i="8" s="1"/>
  <c r="H370" i="8" s="1"/>
  <c r="H306" i="8"/>
  <c r="D309" i="8" s="1"/>
  <c r="H309" i="8" s="1"/>
  <c r="H224" i="8"/>
  <c r="D227" i="8" s="1"/>
  <c r="H227" i="8" s="1"/>
  <c r="H105" i="8"/>
  <c r="D108" i="8" s="1"/>
  <c r="H108" i="8" s="1"/>
  <c r="H204" i="8"/>
  <c r="D207" i="8" s="1"/>
  <c r="H207" i="8" s="1"/>
  <c r="H45" i="8"/>
  <c r="D48" i="8" s="1"/>
  <c r="H48" i="8" s="1"/>
  <c r="H25" i="8"/>
  <c r="D28" i="8" s="1"/>
  <c r="H28" i="8" s="1"/>
  <c r="H85" i="8"/>
  <c r="D88" i="8" s="1"/>
  <c r="H88" i="8" s="1"/>
  <c r="H186" i="8"/>
  <c r="D189" i="8" s="1"/>
  <c r="H189" i="8" s="1"/>
  <c r="H165" i="8"/>
  <c r="D168" i="8" s="1"/>
  <c r="H168" i="8" s="1"/>
  <c r="H145" i="8"/>
  <c r="D148" i="8" s="1"/>
  <c r="H148" i="8" s="1"/>
  <c r="H125" i="8"/>
  <c r="D128" i="8" s="1"/>
  <c r="H128" i="8" s="1"/>
  <c r="H65" i="8"/>
  <c r="D68" i="8" s="1"/>
  <c r="H68" i="8" s="1"/>
  <c r="F30" i="19" l="1"/>
  <c r="H30" i="19" s="1"/>
  <c r="I30" i="19" s="1"/>
  <c r="F34" i="19"/>
  <c r="H34" i="19" s="1"/>
  <c r="I34" i="19" s="1"/>
  <c r="AD107" i="10"/>
  <c r="AF107" i="10" s="1"/>
  <c r="AE126" i="10" s="1"/>
  <c r="AC107" i="10"/>
  <c r="AD106" i="10"/>
  <c r="AF106" i="10" s="1"/>
  <c r="AE125" i="10" s="1"/>
  <c r="AC106" i="10"/>
  <c r="I35" i="3"/>
  <c r="J35" i="3" s="1"/>
  <c r="G35" i="3"/>
  <c r="I19" i="3"/>
  <c r="J19" i="3" s="1"/>
  <c r="G19" i="3"/>
  <c r="V10" i="3"/>
  <c r="W10" i="3" s="1"/>
  <c r="T10" i="3"/>
  <c r="V26" i="3"/>
  <c r="W26" i="3" s="1"/>
  <c r="T26" i="3"/>
  <c r="V7" i="3"/>
  <c r="W7" i="3" s="1"/>
  <c r="T7" i="3"/>
  <c r="V34" i="3"/>
  <c r="W34" i="3" s="1"/>
  <c r="T34" i="3"/>
  <c r="G29" i="3"/>
  <c r="I29" i="3"/>
  <c r="J29" i="3" s="1"/>
  <c r="V20" i="3"/>
  <c r="W20" i="3" s="1"/>
  <c r="T20" i="3"/>
  <c r="V14" i="3"/>
  <c r="W14" i="3" s="1"/>
  <c r="T14" i="3"/>
  <c r="I10" i="3"/>
  <c r="J10" i="3" s="1"/>
  <c r="G10" i="3"/>
  <c r="V38" i="3"/>
  <c r="W38" i="3" s="1"/>
  <c r="T38" i="3"/>
  <c r="G28" i="3"/>
  <c r="I28" i="3"/>
  <c r="J28" i="3" s="1"/>
  <c r="I15" i="3"/>
  <c r="J15" i="3" s="1"/>
  <c r="G15" i="3"/>
  <c r="G24" i="3"/>
  <c r="I24" i="3"/>
  <c r="J24" i="3" s="1"/>
  <c r="V17" i="3"/>
  <c r="W17" i="3" s="1"/>
  <c r="T17" i="3"/>
  <c r="I16" i="3"/>
  <c r="J16" i="3" s="1"/>
  <c r="G16" i="3"/>
  <c r="I33" i="3"/>
  <c r="J33" i="3" s="1"/>
  <c r="G33" i="3"/>
  <c r="V36" i="3"/>
  <c r="W36" i="3" s="1"/>
  <c r="T36" i="3"/>
  <c r="V35" i="3"/>
  <c r="W35" i="3" s="1"/>
  <c r="T35" i="3"/>
  <c r="V8" i="3"/>
  <c r="W8" i="3" s="1"/>
  <c r="T8" i="3"/>
  <c r="I11" i="3"/>
  <c r="J11" i="3" s="1"/>
  <c r="G11" i="3"/>
  <c r="V11" i="3"/>
  <c r="W11" i="3" s="1"/>
  <c r="T11" i="3"/>
  <c r="T9" i="3"/>
  <c r="V9" i="3"/>
  <c r="W9" i="3" s="1"/>
  <c r="T22" i="3"/>
  <c r="V22" i="3"/>
  <c r="W22" i="3" s="1"/>
  <c r="I7" i="3"/>
  <c r="J7" i="3" s="1"/>
  <c r="G7" i="3"/>
  <c r="G20" i="3"/>
  <c r="I20" i="3"/>
  <c r="J20" i="3" s="1"/>
  <c r="V21" i="3"/>
  <c r="W21" i="3" s="1"/>
  <c r="T21" i="3"/>
  <c r="G21" i="3"/>
  <c r="I21" i="3"/>
  <c r="J21" i="3" s="1"/>
  <c r="G32" i="3"/>
  <c r="I32" i="3"/>
  <c r="J32" i="3" s="1"/>
  <c r="I30" i="3"/>
  <c r="J30" i="3" s="1"/>
  <c r="G30" i="3"/>
  <c r="I14" i="3"/>
  <c r="J14" i="3" s="1"/>
  <c r="G14" i="3"/>
  <c r="I13" i="3"/>
  <c r="J13" i="3" s="1"/>
  <c r="G13" i="3"/>
  <c r="V28" i="3"/>
  <c r="W28" i="3" s="1"/>
  <c r="T28" i="3"/>
  <c r="G34" i="3"/>
  <c r="I34" i="3"/>
  <c r="J34" i="3" s="1"/>
  <c r="T24" i="3"/>
  <c r="V24" i="3"/>
  <c r="W24" i="3" s="1"/>
  <c r="I17" i="3"/>
  <c r="J17" i="3" s="1"/>
  <c r="G17" i="3"/>
  <c r="G27" i="3"/>
  <c r="I27" i="3"/>
  <c r="J27" i="3" s="1"/>
  <c r="V33" i="3"/>
  <c r="W33" i="3" s="1"/>
  <c r="T33" i="3"/>
  <c r="V19" i="3"/>
  <c r="W19" i="3" s="1"/>
  <c r="T19" i="3"/>
  <c r="T27" i="3"/>
  <c r="V27" i="3"/>
  <c r="W27" i="3" s="1"/>
  <c r="T23" i="3"/>
  <c r="V23" i="3"/>
  <c r="W23" i="3" s="1"/>
  <c r="T13" i="3"/>
  <c r="V13" i="3"/>
  <c r="W13" i="3" s="1"/>
  <c r="H13" i="20"/>
  <c r="H17" i="20"/>
  <c r="H24" i="20"/>
  <c r="H21" i="20"/>
  <c r="H19" i="20"/>
  <c r="I19" i="20" s="1"/>
  <c r="H15" i="20"/>
  <c r="H29" i="20"/>
  <c r="H6" i="20"/>
  <c r="H26" i="20"/>
  <c r="H14" i="20"/>
  <c r="I14" i="20" s="1"/>
  <c r="H11" i="20"/>
  <c r="H25" i="20"/>
  <c r="H5" i="20"/>
  <c r="H10" i="20"/>
  <c r="H16" i="20"/>
  <c r="H27" i="20"/>
  <c r="H8" i="20"/>
  <c r="H9" i="20"/>
  <c r="H20" i="20"/>
  <c r="I20" i="20" s="1"/>
  <c r="H22" i="20"/>
  <c r="AC100" i="10"/>
  <c r="AD100" i="10"/>
  <c r="D73" i="10"/>
  <c r="H73" i="10" s="1"/>
  <c r="D74" i="10" s="1"/>
  <c r="H74" i="10" s="1"/>
  <c r="AC99" i="10"/>
  <c r="AC96" i="10"/>
  <c r="AC97" i="10"/>
  <c r="AC98" i="10"/>
  <c r="M73" i="10"/>
  <c r="Q73" i="10" s="1"/>
  <c r="M92" i="10"/>
  <c r="Q92" i="10" s="1"/>
  <c r="AD97" i="10"/>
  <c r="AF97" i="10" s="1"/>
  <c r="AE116" i="10" s="1"/>
  <c r="AD98" i="10"/>
  <c r="AF98" i="10" s="1"/>
  <c r="AE117" i="10" s="1"/>
  <c r="M16" i="10"/>
  <c r="Q16" i="10" s="1"/>
  <c r="AD101" i="10" s="1"/>
  <c r="AF101" i="10" s="1"/>
  <c r="AE120" i="10" s="1"/>
  <c r="M35" i="10"/>
  <c r="Q35" i="10" s="1"/>
  <c r="AD102" i="10" s="1"/>
  <c r="AF102" i="10" s="1"/>
  <c r="AE121" i="10" s="1"/>
  <c r="W109" i="10"/>
  <c r="AA109" i="10" s="1"/>
  <c r="AD95" i="10" s="1"/>
  <c r="AF95" i="10" s="1"/>
  <c r="AE114" i="10" s="1"/>
  <c r="M54" i="10"/>
  <c r="Q54" i="10" s="1"/>
  <c r="AD103" i="10" s="1"/>
  <c r="AF103" i="10" s="1"/>
  <c r="AE122" i="10" s="1"/>
  <c r="D49" i="8"/>
  <c r="H49" i="8" s="1"/>
  <c r="H51" i="8" s="1"/>
  <c r="D310" i="8"/>
  <c r="H310" i="8" s="1"/>
  <c r="H312" i="8" s="1"/>
  <c r="D371" i="8"/>
  <c r="H371" i="8" s="1"/>
  <c r="H373" i="8" s="1"/>
  <c r="D149" i="8"/>
  <c r="H149" i="8" s="1"/>
  <c r="H151" i="8" s="1"/>
  <c r="D432" i="8"/>
  <c r="H432" i="8" s="1"/>
  <c r="H434" i="8" s="1"/>
  <c r="D269" i="8"/>
  <c r="H269" i="8" s="1"/>
  <c r="H271" i="8" s="1"/>
  <c r="D129" i="8"/>
  <c r="H129" i="8" s="1"/>
  <c r="H131" i="8" s="1"/>
  <c r="D412" i="8"/>
  <c r="H412" i="8" s="1"/>
  <c r="H414" i="8" s="1"/>
  <c r="D190" i="8"/>
  <c r="H190" i="8" s="1"/>
  <c r="D89" i="8"/>
  <c r="H89" i="8" s="1"/>
  <c r="H91" i="8" s="1"/>
  <c r="N29" i="8"/>
  <c r="R29" i="8" s="1"/>
  <c r="R31" i="8" s="1"/>
  <c r="D289" i="8"/>
  <c r="H289" i="8" s="1"/>
  <c r="H291" i="8" s="1"/>
  <c r="D69" i="8"/>
  <c r="H69" i="8" s="1"/>
  <c r="H71" i="8" s="1"/>
  <c r="D351" i="8"/>
  <c r="H351" i="8" s="1"/>
  <c r="H353" i="8" s="1"/>
  <c r="D169" i="8"/>
  <c r="H169" i="8" s="1"/>
  <c r="H171" i="8" s="1"/>
  <c r="D452" i="8"/>
  <c r="H452" i="8" s="1"/>
  <c r="H454" i="8" s="1"/>
  <c r="D29" i="8"/>
  <c r="H29" i="8" s="1"/>
  <c r="H31" i="8" s="1"/>
  <c r="D331" i="8"/>
  <c r="H331" i="8" s="1"/>
  <c r="H333" i="8" s="1"/>
  <c r="D208" i="8"/>
  <c r="H208" i="8" s="1"/>
  <c r="H210" i="8" s="1"/>
  <c r="D109" i="8"/>
  <c r="H109" i="8" s="1"/>
  <c r="H111" i="8" s="1"/>
  <c r="D249" i="8"/>
  <c r="H249" i="8" s="1"/>
  <c r="H251" i="8" s="1"/>
  <c r="D228" i="8"/>
  <c r="H228" i="8" s="1"/>
  <c r="H230" i="8" s="1"/>
  <c r="AD99" i="10" l="1"/>
  <c r="AF99" i="10" s="1"/>
  <c r="AE118" i="10" s="1"/>
  <c r="AD96" i="10"/>
  <c r="AF96" i="10" s="1"/>
  <c r="AE115" i="10" s="1"/>
  <c r="M93" i="10"/>
  <c r="Q93" i="10" s="1"/>
  <c r="AD105" i="10"/>
  <c r="AF105" i="10" s="1"/>
  <c r="AE124" i="10" s="1"/>
  <c r="AF100" i="10"/>
  <c r="AE119" i="10" s="1"/>
  <c r="M74" i="10"/>
  <c r="Q74" i="10" s="1"/>
  <c r="AD104" i="10"/>
  <c r="AF104" i="10" s="1"/>
  <c r="AE123" i="10" s="1"/>
  <c r="M55" i="10"/>
  <c r="Q55" i="10" s="1"/>
  <c r="M36" i="10"/>
  <c r="Q36" i="10" s="1"/>
  <c r="W110" i="10"/>
  <c r="AA110" i="10" s="1"/>
  <c r="M17" i="10"/>
  <c r="Q17" i="10" s="1"/>
  <c r="AE127" i="10" l="1"/>
  <c r="AG127" i="10" s="1"/>
  <c r="D4" i="20"/>
  <c r="AH127" i="10" l="1"/>
  <c r="AG129" i="10" s="1"/>
  <c r="E4" i="20"/>
  <c r="F4" i="20" s="1"/>
  <c r="H4" i="20" l="1"/>
  <c r="I4" i="20" s="1"/>
</calcChain>
</file>

<file path=xl/sharedStrings.xml><?xml version="1.0" encoding="utf-8"?>
<sst xmlns="http://schemas.openxmlformats.org/spreadsheetml/2006/main" count="1858" uniqueCount="211">
  <si>
    <t>สูตรคำนวณต้นทุน</t>
  </si>
  <si>
    <t>ผลรวมราคาวัตถุดิบ+30% (ค่าน้ำ, ค่าไฟ, ค่าแรง,อื่นๆ) *1.6</t>
  </si>
  <si>
    <t>1.6 คือตัวเลขกำไร 60% ใครอยากได้มากน้อย แก้ตัวเลขเองได้เลยค่ะ</t>
  </si>
  <si>
    <t>Ex.ถ้าอยากได้กำไร 80% ก็คูณ 1.8 , กำไร 100% ก็คูณ 2</t>
  </si>
  <si>
    <t>วิธีใช้ตาราง</t>
  </si>
  <si>
    <t>สามารถเปลี่ยนข้อมูลในตารางสีส้ม ช่องราคา หรือปริมาณ เป็นต้นทุนของตัวเอง</t>
  </si>
  <si>
    <t>ใส่ปริมาณวัตถุดิบตามสูตรที่ใช้ในช่องสีเขียว</t>
  </si>
  <si>
    <t>เปลี่ยนจำนวนชิ้นที่ทำได้จริงในช่องสีม่วง ใส่เลข 1 คือราคาต่อ 1 สูตร</t>
  </si>
  <si>
    <t>ระบบจะคำนวณให้อัตโนมัติในช่องสีแดง ราคานี้ไม่รวมแพ็คเกจ</t>
  </si>
  <si>
    <t>ลำดับ</t>
  </si>
  <si>
    <t>วัตถุดิบ</t>
  </si>
  <si>
    <t>ราคา</t>
  </si>
  <si>
    <t>ปริมาณ</t>
  </si>
  <si>
    <t>ราคา/หน่วย</t>
  </si>
  <si>
    <t>ปริมาณที่ใช้ในสูตร</t>
  </si>
  <si>
    <t>ทุน/หน่วย</t>
  </si>
  <si>
    <t>(กรัม/หน่วย)</t>
  </si>
  <si>
    <t>นมสด</t>
  </si>
  <si>
    <t>ต้นทุนวัตถุดิบ</t>
  </si>
  <si>
    <t>สรุป</t>
  </si>
  <si>
    <t>ต้นทุนวัตถุดิบ+ต้นทุนแฝง</t>
  </si>
  <si>
    <t>30%</t>
  </si>
  <si>
    <t>ต้นทุนต่อ 1 สูตร (ทุน+กำไร 60%)</t>
  </si>
  <si>
    <t>จำนวนชิ้นที่ทำได้</t>
  </si>
  <si>
    <t>ราคาขาย</t>
  </si>
  <si>
    <t>ชาเขียว (มือ)</t>
  </si>
  <si>
    <t>นมข้นหวาน</t>
  </si>
  <si>
    <t>นมข้นจืด (คาเนชัน)</t>
  </si>
  <si>
    <t>แก้ว 16 + ฝา 98</t>
  </si>
  <si>
    <t>หลอด</t>
  </si>
  <si>
    <t xml:space="preserve">ตารางคำนวณต้นทุนเครื่องดื่ม </t>
  </si>
  <si>
    <t>ชาเขียว</t>
  </si>
  <si>
    <t>ชาไทย</t>
  </si>
  <si>
    <t>เอสเย็น</t>
  </si>
  <si>
    <t>น้ำเปล่า</t>
  </si>
  <si>
    <t>แก้ว 14 + ฝา 98</t>
  </si>
  <si>
    <t>อเมริกาโน่ส้ม</t>
  </si>
  <si>
    <t>น้ำส้ม (ซันควิก)</t>
  </si>
  <si>
    <t>ลาเต้</t>
  </si>
  <si>
    <t>โกโก้ทิวลิป</t>
  </si>
  <si>
    <t>โกโก้</t>
  </si>
  <si>
    <t>นมข้นจืด (Falcon)</t>
  </si>
  <si>
    <t>ไซรัปไวท์ช็อค</t>
  </si>
  <si>
    <t>ชาเขียว (หัวเชื้อ)</t>
  </si>
  <si>
    <t>ผงชาเขียว</t>
  </si>
  <si>
    <t>คอฟฟี่เมจ</t>
  </si>
  <si>
    <t>กาแฟ Peaberry</t>
  </si>
  <si>
    <t>นมสด Mmilk</t>
  </si>
  <si>
    <t>กาแฟ ต้น</t>
  </si>
  <si>
    <t>นมจืด Mmilk</t>
  </si>
  <si>
    <t>อเมริกาโน่ส้มโซดา</t>
  </si>
  <si>
    <t>โซดา</t>
  </si>
  <si>
    <t>อเมริกาโน่เย็น Peaberry</t>
  </si>
  <si>
    <t>กาแฟ หอมนัวฟ้า</t>
  </si>
  <si>
    <t>อเมริกาโน่เย็น พี่ต้น</t>
  </si>
  <si>
    <t>กาแฟ พี่ต้น</t>
  </si>
  <si>
    <t>อเมริกาโน่ร้อน</t>
  </si>
  <si>
    <t>กาแฟ Brazil เข้ม</t>
  </si>
  <si>
    <t>อเมริกาโน่เย็น Brazil เข้ม</t>
  </si>
  <si>
    <t>เพิ่มช็อต</t>
  </si>
  <si>
    <t>น้ำเปล่าใส่ในการสกัด</t>
  </si>
  <si>
    <t>Mmilk</t>
  </si>
  <si>
    <t>ส้มโซดา</t>
  </si>
  <si>
    <t>ฟองนม mmilk</t>
  </si>
  <si>
    <t>ชาไทยตรามือ</t>
  </si>
  <si>
    <t>น้ำร้อน</t>
  </si>
  <si>
    <t>เอสเพรสโซ่</t>
  </si>
  <si>
    <t>แก้วเซรามิก</t>
  </si>
  <si>
    <t>ชาเขียวมะนาว</t>
  </si>
  <si>
    <t>มิตรผล</t>
  </si>
  <si>
    <t>นมข้นหวาน (คาเนชัน)</t>
  </si>
  <si>
    <t>ผงมะนาว</t>
  </si>
  <si>
    <t>อเมริกาโน่น้ำผึ้ง</t>
  </si>
  <si>
    <t>น้ำผึ้ง</t>
  </si>
  <si>
    <t>อเมริกาโน่น้ำผึ้งมะนาว</t>
  </si>
  <si>
    <t>อเมริกาโน่เย็น เม็ดพิเศษ</t>
  </si>
  <si>
    <t>กาแฟ วน</t>
  </si>
  <si>
    <t>คาปู</t>
  </si>
  <si>
    <t>ฟองนมMmilk</t>
  </si>
  <si>
    <t>อเมริกาโน่มะพร้าว</t>
  </si>
  <si>
    <t>ไซรัปมะพร้าว</t>
  </si>
  <si>
    <t>เอสเพรสโซ่ เม็ดกาแฟ</t>
  </si>
  <si>
    <t>กาแฟ ดรีมมี่</t>
  </si>
  <si>
    <t>กาแฟ บราซิลเข้ม</t>
  </si>
  <si>
    <t>กาแฟ หอมนัว</t>
  </si>
  <si>
    <t>เอสเพรสโซ่ เม็ดพิเศษ ผสมกับนม</t>
  </si>
  <si>
    <t>ชื่อเมนู</t>
  </si>
  <si>
    <t>ต้นทุนรวม</t>
  </si>
  <si>
    <t>กำไร</t>
  </si>
  <si>
    <t>เอสเปรสโซ่เย็น</t>
  </si>
  <si>
    <t>อเมริกาโน่เย็น หอมนัวแดง</t>
  </si>
  <si>
    <t>ต้นทุน+30%</t>
  </si>
  <si>
    <t>กาแฟ brazil santos</t>
  </si>
  <si>
    <t>กาแฟ Gentleman</t>
  </si>
  <si>
    <t>กาแฟ Rumrum</t>
  </si>
  <si>
    <t>กาแฟ Ethiopia G1</t>
  </si>
  <si>
    <t>กาแฟ Blueberry</t>
  </si>
  <si>
    <t>เอสเย็น Rumrum</t>
  </si>
  <si>
    <t>อเมริกาโน่น้ำผึ้ง Rumrum</t>
  </si>
  <si>
    <t>ลาเต้ RumRum</t>
  </si>
  <si>
    <t>ชาเขียวน้ำผึ้งมะนาว</t>
  </si>
  <si>
    <t>ชาตรามือ</t>
  </si>
  <si>
    <t>ชาไทยมะนาว</t>
  </si>
  <si>
    <t>คาปู rumrum</t>
  </si>
  <si>
    <t>กาแฟ หอมนัวแดง</t>
  </si>
  <si>
    <t>เอสเย็น หอมนัวแดง</t>
  </si>
  <si>
    <t>ลาเต้ หอมนัวแดง</t>
  </si>
  <si>
    <t>โกโก้ On top</t>
  </si>
  <si>
    <t>กาแฟ 88 coffee</t>
  </si>
  <si>
    <t>กาแฟ</t>
  </si>
  <si>
    <t>มอคค่า</t>
  </si>
  <si>
    <t xml:space="preserve">ฟองนม mmilk </t>
  </si>
  <si>
    <t>อเมริกาโน่</t>
  </si>
  <si>
    <t>ถุงซิปใส่น้ำแข็ง</t>
  </si>
  <si>
    <t>อเมริกาโน่เย็นคั่วกลางค่อนอ่อน peaberry</t>
  </si>
  <si>
    <t>เอสเพรสโซ่ช็อต</t>
  </si>
  <si>
    <t>popcorn/mint</t>
  </si>
  <si>
    <t>ชามะนาว</t>
  </si>
  <si>
    <t>popcorn / mint</t>
  </si>
  <si>
    <t>นมสด popcorn / mint</t>
  </si>
  <si>
    <t>Soda</t>
  </si>
  <si>
    <t>ส้ม Soda</t>
  </si>
  <si>
    <t>เพิ่มหวาน</t>
  </si>
  <si>
    <t>นม Popcorn</t>
  </si>
  <si>
    <t>นม Mint</t>
  </si>
  <si>
    <t>โกโก้ popcorn / mint</t>
  </si>
  <si>
    <t>ลาเต้ popcorn/mint</t>
  </si>
  <si>
    <t>ลาเต้ popcorn / mint</t>
  </si>
  <si>
    <t>Vat 7%</t>
  </si>
  <si>
    <t>GP</t>
  </si>
  <si>
    <t>รวม GP+Vat</t>
  </si>
  <si>
    <t>Shoppee</t>
  </si>
  <si>
    <t>Lineman</t>
  </si>
  <si>
    <t>เบสชา</t>
  </si>
  <si>
    <t>ที่ปิดฝา+ถุงซิป</t>
  </si>
  <si>
    <t>กำไรสุทธิ</t>
  </si>
  <si>
    <t>ชื่อวัตถุดิบ</t>
  </si>
  <si>
    <t>ปริมาณ กรัม/หน่วย</t>
  </si>
  <si>
    <t>แก้ว 16 ออน</t>
  </si>
  <si>
    <t>ฝา 98 ยกดื่ม</t>
  </si>
  <si>
    <t>แก้ว 14 ออน</t>
  </si>
  <si>
    <t>ถุงซิป</t>
  </si>
  <si>
    <t>ถุงใส่แก้ว</t>
  </si>
  <si>
    <t>กระดาษปิดฝาแก้ว</t>
  </si>
  <si>
    <t>Falcon</t>
  </si>
  <si>
    <t>ข้นหวาน Canation</t>
  </si>
  <si>
    <t>น้ำเปล่า ปันสุข</t>
  </si>
  <si>
    <t>น้ำผึ้ง Aro</t>
  </si>
  <si>
    <t>White Cho LongBeach</t>
  </si>
  <si>
    <t>Sunquick 1966</t>
  </si>
  <si>
    <t>มิตรผลน้ำเชื่อมเข้มข้น</t>
  </si>
  <si>
    <t>Monin popcorn</t>
  </si>
  <si>
    <t>Monin mint</t>
  </si>
  <si>
    <t>คนอร์ผงรสมะนาว</t>
  </si>
  <si>
    <t>Monin popcorn/mint</t>
  </si>
  <si>
    <t xml:space="preserve">คอฟฟี่เมจ </t>
  </si>
  <si>
    <t>โกโก้ Tulip 32 %</t>
  </si>
  <si>
    <t>ชาตรามือเขียว</t>
  </si>
  <si>
    <t>ชาตรามือแดง</t>
  </si>
  <si>
    <t>มังกรบิน หัววเชื้อ</t>
  </si>
  <si>
    <t>ผงชาเขียวญี่ปุ่น</t>
  </si>
  <si>
    <t>มังกรบิน หัวเชื้อ</t>
  </si>
  <si>
    <t>ชาเขียวหัวเชื้อ</t>
  </si>
  <si>
    <t>ชาเขียวนม</t>
  </si>
  <si>
    <t>ชาเขียวมะนาวน้ำผึ้ง</t>
  </si>
  <si>
    <t>โกโก้ mint</t>
  </si>
  <si>
    <t>นมสด mint/popcorn</t>
  </si>
  <si>
    <t>ต้นทุน</t>
  </si>
  <si>
    <t>ต้นทุน30%</t>
  </si>
  <si>
    <t>กิโลกรัม</t>
  </si>
  <si>
    <t>กำไรสุทธิใน Shoppee</t>
  </si>
  <si>
    <r>
      <t xml:space="preserve">อเมริกาโน่เย็นคั่วกลาง </t>
    </r>
    <r>
      <rPr>
        <b/>
        <sz val="24"/>
        <color rgb="FFFF0000"/>
        <rFont val="AngsanaUPC"/>
        <family val="1"/>
        <charset val="222"/>
      </rPr>
      <t>Peaberry</t>
    </r>
  </si>
  <si>
    <r>
      <t>อเมริกาโน่เย็นคั่วเข้ม</t>
    </r>
    <r>
      <rPr>
        <b/>
        <sz val="24"/>
        <color rgb="FFFF0000"/>
        <rFont val="AngsanaUPC"/>
        <family val="1"/>
        <charset val="222"/>
      </rPr>
      <t xml:space="preserve"> EP</t>
    </r>
  </si>
  <si>
    <r>
      <t xml:space="preserve">อเมริกาโน่ </t>
    </r>
    <r>
      <rPr>
        <b/>
        <sz val="24"/>
        <color rgb="FFFF0000"/>
        <rFont val="AngsanaUPC"/>
        <family val="1"/>
        <charset val="222"/>
      </rPr>
      <t>Blueberry</t>
    </r>
  </si>
  <si>
    <r>
      <t xml:space="preserve">อเมริกาโน่ </t>
    </r>
    <r>
      <rPr>
        <b/>
        <sz val="24"/>
        <color rgb="FFFF0000"/>
        <rFont val="AngsanaUPC"/>
        <family val="1"/>
        <charset val="222"/>
      </rPr>
      <t>Rumrum</t>
    </r>
  </si>
  <si>
    <r>
      <t xml:space="preserve">เอสเปรสโซ่เย็น </t>
    </r>
    <r>
      <rPr>
        <b/>
        <sz val="24"/>
        <color rgb="FFFF0000"/>
        <rFont val="AngsanaUPC"/>
        <family val="1"/>
        <charset val="222"/>
      </rPr>
      <t>Rumrum</t>
    </r>
  </si>
  <si>
    <r>
      <t xml:space="preserve">ลาเต้ </t>
    </r>
    <r>
      <rPr>
        <b/>
        <sz val="24"/>
        <color rgb="FFFF0000"/>
        <rFont val="AngsanaUPC"/>
        <family val="1"/>
        <charset val="222"/>
      </rPr>
      <t>MINT</t>
    </r>
  </si>
  <si>
    <r>
      <t xml:space="preserve">ลาเต้ </t>
    </r>
    <r>
      <rPr>
        <b/>
        <sz val="24"/>
        <color rgb="FFFF0000"/>
        <rFont val="AngsanaUPC"/>
        <family val="1"/>
        <charset val="222"/>
      </rPr>
      <t>POPCORN</t>
    </r>
  </si>
  <si>
    <t>โกโก้ Mint</t>
  </si>
  <si>
    <t>-</t>
  </si>
  <si>
    <t>หน้าร้าน</t>
  </si>
  <si>
    <t>เอสเพรสโซ่ช็อตน้ำผึ้ง</t>
  </si>
  <si>
    <t>เอสช็อตน้ำผึ้ง</t>
  </si>
  <si>
    <t>ชาไทยหัวเชื้อ</t>
  </si>
  <si>
    <t>ชาไทยนม</t>
  </si>
  <si>
    <t>Espresso Shot</t>
  </si>
  <si>
    <t>อเมริกาโน่มะนาว</t>
  </si>
  <si>
    <t>เพียวมัทฉะ</t>
  </si>
  <si>
    <t>Macha Kawami</t>
  </si>
  <si>
    <t>มัทฉะ ลาเต้</t>
  </si>
  <si>
    <t>เพิ่งตื่น นอนหลับฝันดี</t>
  </si>
  <si>
    <r>
      <t xml:space="preserve">อเมริกาโน่ </t>
    </r>
    <r>
      <rPr>
        <b/>
        <sz val="24"/>
        <color rgb="FFFF0000"/>
        <rFont val="AngsanaUPC"/>
        <family val="1"/>
        <charset val="222"/>
      </rPr>
      <t>Peachy Blend</t>
    </r>
  </si>
  <si>
    <t>(ต้นทุน+30%)+GP+Vat7%</t>
  </si>
  <si>
    <t>ส้มน้ำผึ้งมะนาว Soda</t>
  </si>
  <si>
    <t>มัทฉะลาเต้</t>
  </si>
  <si>
    <t>ช็อตกาแฟน้ำผึ้งส้ม เย็น</t>
  </si>
  <si>
    <t>เพิ่งตื่นนอน หลับฝันดี</t>
  </si>
  <si>
    <t>เงินอุดหนุนจากร้านค้า</t>
  </si>
  <si>
    <t>ลองบีช เลม่อนมะนาว</t>
  </si>
  <si>
    <t>อเมริกาโน่เย็น Choco</t>
  </si>
  <si>
    <t>แดง 15.41</t>
  </si>
  <si>
    <t>ส้ม 13.07</t>
  </si>
  <si>
    <t>ลาเต้24.19</t>
  </si>
  <si>
    <t>โกโก้ส้ม</t>
  </si>
  <si>
    <t>อเมริกาโน่พีชโซดา</t>
  </si>
  <si>
    <t>พีชไซรัป</t>
  </si>
  <si>
    <t>จำนวน</t>
  </si>
  <si>
    <t>ยอด</t>
  </si>
  <si>
    <t>จำนวนวัน</t>
  </si>
  <si>
    <t>Oatside</t>
  </si>
  <si>
    <t>อเมริกาโน่ ต้น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</si>
</sst>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33CCFF"/>
      <name val="Calibri"/>
      <family val="2"/>
      <scheme val="minor"/>
    </font>
    <font>
      <sz val="12"/>
      <color rgb="FFFF9022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CC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4"/>
      <color theme="1"/>
      <name val="AngsanaUPC"/>
      <family val="1"/>
      <charset val="222"/>
    </font>
    <font>
      <b/>
      <sz val="24"/>
      <color theme="1"/>
      <name val="AngsanaUPC"/>
      <family val="1"/>
      <charset val="222"/>
    </font>
    <font>
      <b/>
      <sz val="24"/>
      <color rgb="FFFF0000"/>
      <name val="AngsanaUPC"/>
      <family val="1"/>
      <charset val="222"/>
    </font>
    <font>
      <sz val="24"/>
      <color theme="0"/>
      <name val="AngsanaUPC"/>
      <family val="1"/>
      <charset val="22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0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1" borderId="0" applyNumberFormat="0" applyBorder="0" applyAlignment="0" applyProtection="0"/>
    <xf numFmtId="0" fontId="4" fillId="12" borderId="0" applyNumberFormat="0" applyBorder="0" applyAlignment="0" applyProtection="0"/>
  </cellStyleXfs>
  <cellXfs count="24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13" borderId="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13" borderId="14" xfId="3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5" applyFont="1" applyFill="1" applyBorder="1" applyAlignment="1">
      <alignment horizontal="left" vertical="center"/>
    </xf>
    <xf numFmtId="0" fontId="6" fillId="15" borderId="5" xfId="4" applyFont="1" applyFill="1" applyBorder="1" applyAlignment="1">
      <alignment vertical="center"/>
    </xf>
    <xf numFmtId="0" fontId="6" fillId="14" borderId="6" xfId="4" applyFont="1" applyFill="1" applyBorder="1" applyAlignment="1">
      <alignment vertical="center"/>
    </xf>
    <xf numFmtId="0" fontId="6" fillId="16" borderId="4" xfId="10" applyFont="1" applyFill="1" applyBorder="1" applyAlignment="1">
      <alignment vertical="center"/>
    </xf>
    <xf numFmtId="2" fontId="6" fillId="17" borderId="6" xfId="10" applyNumberFormat="1" applyFont="1" applyFill="1" applyBorder="1" applyAlignment="1">
      <alignment vertical="center"/>
    </xf>
    <xf numFmtId="2" fontId="6" fillId="14" borderId="6" xfId="4" applyNumberFormat="1" applyFont="1" applyFill="1" applyBorder="1" applyAlignment="1">
      <alignment vertical="center"/>
    </xf>
    <xf numFmtId="0" fontId="6" fillId="17" borderId="6" xfId="10" applyFont="1" applyFill="1" applyBorder="1" applyAlignment="1">
      <alignment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8" xfId="5" applyFont="1" applyFill="1" applyBorder="1" applyAlignment="1">
      <alignment horizontal="left" vertical="center"/>
    </xf>
    <xf numFmtId="0" fontId="6" fillId="15" borderId="8" xfId="4" applyFont="1" applyFill="1" applyBorder="1" applyAlignment="1">
      <alignment vertical="center"/>
    </xf>
    <xf numFmtId="2" fontId="6" fillId="14" borderId="9" xfId="4" applyNumberFormat="1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2" fontId="6" fillId="18" borderId="9" xfId="1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2" fontId="6" fillId="0" borderId="0" xfId="1" applyNumberFormat="1" applyFont="1" applyFill="1" applyBorder="1" applyAlignment="1">
      <alignment vertical="center"/>
    </xf>
    <xf numFmtId="2" fontId="6" fillId="16" borderId="6" xfId="11" applyNumberFormat="1" applyFont="1" applyFill="1" applyBorder="1" applyAlignment="1">
      <alignment vertical="center"/>
    </xf>
    <xf numFmtId="2" fontId="6" fillId="21" borderId="9" xfId="6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2" fontId="6" fillId="0" borderId="0" xfId="11" applyNumberFormat="1" applyFont="1" applyFill="1" applyBorder="1" applyAlignment="1">
      <alignment horizontal="center" vertical="center"/>
    </xf>
    <xf numFmtId="2" fontId="6" fillId="0" borderId="0" xfId="6" applyNumberFormat="1" applyFont="1" applyFill="1" applyBorder="1" applyAlignment="1">
      <alignment vertical="center"/>
    </xf>
    <xf numFmtId="2" fontId="9" fillId="23" borderId="18" xfId="0" applyNumberFormat="1" applyFont="1" applyFill="1" applyBorder="1" applyAlignment="1">
      <alignment vertical="center"/>
    </xf>
    <xf numFmtId="2" fontId="6" fillId="18" borderId="0" xfId="1" applyNumberFormat="1" applyFont="1" applyFill="1" applyBorder="1" applyAlignment="1">
      <alignment vertical="center"/>
    </xf>
    <xf numFmtId="0" fontId="6" fillId="0" borderId="0" xfId="7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5" fillId="14" borderId="5" xfId="5" applyFont="1" applyFill="1" applyBorder="1" applyAlignment="1">
      <alignment horizontal="left" vertical="center"/>
    </xf>
    <xf numFmtId="0" fontId="15" fillId="15" borderId="5" xfId="4" applyFont="1" applyFill="1" applyBorder="1" applyAlignment="1">
      <alignment vertical="center"/>
    </xf>
    <xf numFmtId="2" fontId="15" fillId="14" borderId="6" xfId="4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16" borderId="4" xfId="10" applyFont="1" applyFill="1" applyBorder="1" applyAlignment="1">
      <alignment vertical="center"/>
    </xf>
    <xf numFmtId="2" fontId="15" fillId="17" borderId="6" xfId="1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4" fillId="14" borderId="5" xfId="5" applyFont="1" applyFill="1" applyBorder="1" applyAlignment="1">
      <alignment horizontal="left" vertical="center"/>
    </xf>
    <xf numFmtId="0" fontId="14" fillId="15" borderId="5" xfId="4" applyFont="1" applyFill="1" applyBorder="1" applyAlignment="1">
      <alignment vertical="center"/>
    </xf>
    <xf numFmtId="0" fontId="14" fillId="14" borderId="6" xfId="4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16" borderId="4" xfId="10" applyFont="1" applyFill="1" applyBorder="1" applyAlignment="1">
      <alignment vertical="center"/>
    </xf>
    <xf numFmtId="2" fontId="14" fillId="17" borderId="6" xfId="10" applyNumberFormat="1" applyFont="1" applyFill="1" applyBorder="1" applyAlignment="1">
      <alignment vertical="center"/>
    </xf>
    <xf numFmtId="2" fontId="14" fillId="14" borderId="6" xfId="4" applyNumberFormat="1" applyFont="1" applyFill="1" applyBorder="1" applyAlignment="1">
      <alignment vertical="center"/>
    </xf>
    <xf numFmtId="0" fontId="14" fillId="17" borderId="6" xfId="10" applyFont="1" applyFill="1" applyBorder="1" applyAlignment="1">
      <alignment vertical="center"/>
    </xf>
    <xf numFmtId="0" fontId="0" fillId="15" borderId="5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2" fontId="0" fillId="26" borderId="5" xfId="0" applyNumberFormat="1" applyFill="1" applyBorder="1" applyAlignment="1">
      <alignment horizontal="center" vertical="center"/>
    </xf>
    <xf numFmtId="2" fontId="0" fillId="15" borderId="6" xfId="0" applyNumberFormat="1" applyFill="1" applyBorder="1" applyAlignment="1">
      <alignment horizontal="center" vertical="center"/>
    </xf>
    <xf numFmtId="2" fontId="0" fillId="36" borderId="4" xfId="0" applyNumberFormat="1" applyFill="1" applyBorder="1" applyAlignment="1">
      <alignment horizontal="center" vertical="center"/>
    </xf>
    <xf numFmtId="2" fontId="0" fillId="39" borderId="6" xfId="0" applyNumberFormat="1" applyFill="1" applyBorder="1" applyAlignment="1">
      <alignment horizontal="center" vertical="center"/>
    </xf>
    <xf numFmtId="2" fontId="0" fillId="26" borderId="8" xfId="0" applyNumberFormat="1" applyFill="1" applyBorder="1" applyAlignment="1">
      <alignment horizontal="center" vertical="center"/>
    </xf>
    <xf numFmtId="2" fontId="0" fillId="15" borderId="9" xfId="0" applyNumberFormat="1" applyFill="1" applyBorder="1" applyAlignment="1">
      <alignment horizontal="center" vertical="center"/>
    </xf>
    <xf numFmtId="0" fontId="0" fillId="26" borderId="5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2" fontId="0" fillId="36" borderId="21" xfId="0" applyNumberFormat="1" applyFill="1" applyBorder="1" applyAlignment="1">
      <alignment horizontal="center" vertical="center"/>
    </xf>
    <xf numFmtId="2" fontId="0" fillId="39" borderId="9" xfId="0" applyNumberFormat="1" applyFill="1" applyBorder="1" applyAlignment="1">
      <alignment horizontal="center" vertical="center"/>
    </xf>
    <xf numFmtId="2" fontId="0" fillId="36" borderId="26" xfId="0" applyNumberFormat="1" applyFill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2" fontId="6" fillId="21" borderId="44" xfId="6" applyNumberFormat="1" applyFont="1" applyFill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2" fontId="6" fillId="34" borderId="9" xfId="1" applyNumberFormat="1" applyFont="1" applyFill="1" applyBorder="1" applyAlignment="1">
      <alignment vertical="center"/>
    </xf>
    <xf numFmtId="2" fontId="6" fillId="35" borderId="6" xfId="11" applyNumberFormat="1" applyFont="1" applyFill="1" applyBorder="1" applyAlignment="1">
      <alignment vertical="center"/>
    </xf>
    <xf numFmtId="2" fontId="6" fillId="35" borderId="9" xfId="11" applyNumberFormat="1" applyFont="1" applyFill="1" applyBorder="1" applyAlignment="1">
      <alignment vertical="center"/>
    </xf>
    <xf numFmtId="2" fontId="9" fillId="34" borderId="9" xfId="1" applyNumberFormat="1" applyFont="1" applyFill="1" applyBorder="1" applyAlignment="1">
      <alignment vertical="center"/>
    </xf>
    <xf numFmtId="0" fontId="7" fillId="0" borderId="5" xfId="0" applyFont="1" applyBorder="1"/>
    <xf numFmtId="0" fontId="16" fillId="34" borderId="5" xfId="0" applyFont="1" applyFill="1" applyBorder="1" applyAlignment="1">
      <alignment horizontal="center" vertical="center"/>
    </xf>
    <xf numFmtId="0" fontId="7" fillId="35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1" borderId="5" xfId="0" applyFont="1" applyFill="1" applyBorder="1" applyAlignment="1">
      <alignment horizontal="center" vertical="center"/>
    </xf>
    <xf numFmtId="2" fontId="16" fillId="34" borderId="5" xfId="0" applyNumberFormat="1" applyFont="1" applyFill="1" applyBorder="1"/>
    <xf numFmtId="2" fontId="7" fillId="35" borderId="5" xfId="0" applyNumberFormat="1" applyFont="1" applyFill="1" applyBorder="1"/>
    <xf numFmtId="2" fontId="7" fillId="0" borderId="5" xfId="0" applyNumberFormat="1" applyFont="1" applyBorder="1"/>
    <xf numFmtId="2" fontId="7" fillId="21" borderId="5" xfId="0" applyNumberFormat="1" applyFont="1" applyFill="1" applyBorder="1"/>
    <xf numFmtId="0" fontId="7" fillId="0" borderId="0" xfId="0" applyFont="1"/>
    <xf numFmtId="0" fontId="17" fillId="0" borderId="0" xfId="0" applyFont="1"/>
    <xf numFmtId="10" fontId="18" fillId="15" borderId="5" xfId="0" applyNumberFormat="1" applyFont="1" applyFill="1" applyBorder="1" applyAlignment="1">
      <alignment horizontal="center" vertical="center"/>
    </xf>
    <xf numFmtId="2" fontId="17" fillId="15" borderId="5" xfId="0" applyNumberFormat="1" applyFont="1" applyFill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2" fontId="17" fillId="33" borderId="5" xfId="0" applyNumberFormat="1" applyFont="1" applyFill="1" applyBorder="1" applyAlignment="1">
      <alignment horizontal="center" vertical="center"/>
    </xf>
    <xf numFmtId="2" fontId="17" fillId="26" borderId="5" xfId="0" applyNumberFormat="1" applyFont="1" applyFill="1" applyBorder="1" applyAlignment="1">
      <alignment horizontal="center" vertical="center"/>
    </xf>
    <xf numFmtId="2" fontId="17" fillId="35" borderId="5" xfId="0" applyNumberFormat="1" applyFont="1" applyFill="1" applyBorder="1" applyAlignment="1">
      <alignment horizontal="center" vertical="center"/>
    </xf>
    <xf numFmtId="2" fontId="17" fillId="21" borderId="5" xfId="0" applyNumberFormat="1" applyFont="1" applyFill="1" applyBorder="1" applyAlignment="1">
      <alignment horizontal="center" vertical="center"/>
    </xf>
    <xf numFmtId="0" fontId="18" fillId="35" borderId="5" xfId="0" applyFont="1" applyFill="1" applyBorder="1" applyAlignment="1">
      <alignment horizontal="left" vertical="center"/>
    </xf>
    <xf numFmtId="0" fontId="18" fillId="15" borderId="14" xfId="0" applyFont="1" applyFill="1" applyBorder="1" applyAlignment="1">
      <alignment horizontal="center" vertical="center"/>
    </xf>
    <xf numFmtId="0" fontId="18" fillId="33" borderId="5" xfId="0" applyFont="1" applyFill="1" applyBorder="1" applyAlignment="1">
      <alignment horizontal="left" vertical="center"/>
    </xf>
    <xf numFmtId="2" fontId="9" fillId="34" borderId="36" xfId="1" applyNumberFormat="1" applyFont="1" applyFill="1" applyBorder="1" applyAlignment="1">
      <alignment vertical="center"/>
    </xf>
    <xf numFmtId="0" fontId="0" fillId="0" borderId="19" xfId="0" applyBorder="1"/>
    <xf numFmtId="2" fontId="9" fillId="34" borderId="6" xfId="1" applyNumberFormat="1" applyFont="1" applyFill="1" applyBorder="1" applyAlignment="1">
      <alignment vertical="center"/>
    </xf>
    <xf numFmtId="0" fontId="7" fillId="0" borderId="50" xfId="0" applyFont="1" applyBorder="1"/>
    <xf numFmtId="0" fontId="17" fillId="0" borderId="5" xfId="0" applyFont="1" applyBorder="1"/>
    <xf numFmtId="0" fontId="18" fillId="15" borderId="5" xfId="0" applyFont="1" applyFill="1" applyBorder="1" applyAlignment="1">
      <alignment horizontal="center" vertical="center"/>
    </xf>
    <xf numFmtId="0" fontId="17" fillId="33" borderId="5" xfId="0" applyFont="1" applyFill="1" applyBorder="1" applyAlignment="1">
      <alignment horizontal="center" vertical="center"/>
    </xf>
    <xf numFmtId="0" fontId="17" fillId="33" borderId="14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0" fontId="17" fillId="26" borderId="5" xfId="0" applyFont="1" applyFill="1" applyBorder="1" applyAlignment="1">
      <alignment horizontal="center" vertical="center"/>
    </xf>
    <xf numFmtId="2" fontId="0" fillId="0" borderId="0" xfId="0" applyNumberFormat="1"/>
    <xf numFmtId="0" fontId="6" fillId="30" borderId="38" xfId="0" applyFont="1" applyFill="1" applyBorder="1" applyAlignment="1">
      <alignment horizontal="center" vertical="center"/>
    </xf>
    <xf numFmtId="0" fontId="6" fillId="30" borderId="42" xfId="0" applyFont="1" applyFill="1" applyBorder="1" applyAlignment="1">
      <alignment horizontal="center" vertical="center"/>
    </xf>
    <xf numFmtId="0" fontId="6" fillId="19" borderId="28" xfId="0" applyFont="1" applyFill="1" applyBorder="1" applyAlignment="1">
      <alignment horizontal="center" vertical="center"/>
    </xf>
    <xf numFmtId="0" fontId="6" fillId="19" borderId="29" xfId="0" applyFont="1" applyFill="1" applyBorder="1" applyAlignment="1">
      <alignment horizontal="center" vertical="center"/>
    </xf>
    <xf numFmtId="0" fontId="6" fillId="19" borderId="30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2" fontId="6" fillId="18" borderId="5" xfId="1" applyNumberFormat="1" applyFont="1" applyFill="1" applyBorder="1" applyAlignment="1">
      <alignment horizontal="center" vertical="center"/>
    </xf>
    <xf numFmtId="49" fontId="8" fillId="0" borderId="19" xfId="1" applyNumberFormat="1" applyFont="1" applyFill="1" applyBorder="1" applyAlignment="1">
      <alignment horizontal="center" vertical="center"/>
    </xf>
    <xf numFmtId="49" fontId="8" fillId="0" borderId="21" xfId="1" applyNumberFormat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2" fontId="6" fillId="12" borderId="8" xfId="11" applyNumberFormat="1" applyFont="1" applyBorder="1" applyAlignment="1">
      <alignment horizontal="center" vertical="center"/>
    </xf>
    <xf numFmtId="0" fontId="6" fillId="20" borderId="36" xfId="0" applyFont="1" applyFill="1" applyBorder="1" applyAlignment="1">
      <alignment horizontal="center" vertical="center"/>
    </xf>
    <xf numFmtId="0" fontId="6" fillId="20" borderId="26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0" fontId="7" fillId="13" borderId="11" xfId="3" applyFont="1" applyFill="1" applyBorder="1" applyAlignment="1">
      <alignment horizontal="center" vertical="center"/>
    </xf>
    <xf numFmtId="0" fontId="7" fillId="13" borderId="14" xfId="3" applyFont="1" applyFill="1" applyBorder="1" applyAlignment="1">
      <alignment horizontal="center" vertical="center"/>
    </xf>
    <xf numFmtId="0" fontId="7" fillId="13" borderId="12" xfId="3" applyFont="1" applyFill="1" applyBorder="1" applyAlignment="1">
      <alignment horizontal="center" vertical="center"/>
    </xf>
    <xf numFmtId="0" fontId="7" fillId="13" borderId="15" xfId="3" applyFont="1" applyFill="1" applyBorder="1" applyAlignment="1">
      <alignment horizontal="center" vertical="center"/>
    </xf>
    <xf numFmtId="0" fontId="7" fillId="10" borderId="10" xfId="9" applyFont="1" applyBorder="1" applyAlignment="1">
      <alignment horizontal="center" vertical="center"/>
    </xf>
    <xf numFmtId="0" fontId="7" fillId="10" borderId="13" xfId="9" applyFont="1" applyBorder="1" applyAlignment="1">
      <alignment horizontal="center" vertical="center"/>
    </xf>
    <xf numFmtId="0" fontId="7" fillId="10" borderId="12" xfId="9" applyFont="1" applyBorder="1" applyAlignment="1">
      <alignment horizontal="center" vertical="center"/>
    </xf>
    <xf numFmtId="0" fontId="7" fillId="10" borderId="15" xfId="9" applyFont="1" applyBorder="1" applyAlignment="1">
      <alignment horizontal="center" vertical="center"/>
    </xf>
    <xf numFmtId="2" fontId="6" fillId="18" borderId="36" xfId="1" applyNumberFormat="1" applyFont="1" applyFill="1" applyBorder="1" applyAlignment="1">
      <alignment horizontal="center" vertical="center"/>
    </xf>
    <xf numFmtId="2" fontId="6" fillId="18" borderId="26" xfId="1" applyNumberFormat="1" applyFont="1" applyFill="1" applyBorder="1" applyAlignment="1">
      <alignment horizontal="center" vertical="center"/>
    </xf>
    <xf numFmtId="49" fontId="8" fillId="0" borderId="36" xfId="1" applyNumberFormat="1" applyFont="1" applyFill="1" applyBorder="1" applyAlignment="1">
      <alignment horizontal="center" vertical="center"/>
    </xf>
    <xf numFmtId="49" fontId="8" fillId="0" borderId="26" xfId="1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2" fontId="6" fillId="12" borderId="16" xfId="11" applyNumberFormat="1" applyFont="1" applyBorder="1" applyAlignment="1">
      <alignment horizontal="center" vertical="center"/>
    </xf>
    <xf numFmtId="2" fontId="6" fillId="12" borderId="17" xfId="11" applyNumberFormat="1" applyFont="1" applyBorder="1" applyAlignment="1">
      <alignment horizontal="center" vertical="center"/>
    </xf>
    <xf numFmtId="0" fontId="6" fillId="20" borderId="16" xfId="0" applyFont="1" applyFill="1" applyBorder="1" applyAlignment="1">
      <alignment horizontal="center" vertical="center"/>
    </xf>
    <xf numFmtId="0" fontId="6" fillId="20" borderId="17" xfId="0" applyFont="1" applyFill="1" applyBorder="1" applyAlignment="1">
      <alignment horizontal="center" vertical="center"/>
    </xf>
    <xf numFmtId="0" fontId="6" fillId="26" borderId="38" xfId="0" applyFont="1" applyFill="1" applyBorder="1" applyAlignment="1">
      <alignment horizontal="center" vertical="center"/>
    </xf>
    <xf numFmtId="0" fontId="6" fillId="26" borderId="42" xfId="0" applyFont="1" applyFill="1" applyBorder="1" applyAlignment="1">
      <alignment horizontal="center" vertical="center"/>
    </xf>
    <xf numFmtId="2" fontId="6" fillId="12" borderId="36" xfId="11" applyNumberFormat="1" applyFont="1" applyBorder="1" applyAlignment="1">
      <alignment horizontal="center" vertical="center"/>
    </xf>
    <xf numFmtId="2" fontId="6" fillId="12" borderId="26" xfId="11" applyNumberFormat="1" applyFont="1" applyBorder="1" applyAlignment="1">
      <alignment horizontal="center" vertical="center"/>
    </xf>
    <xf numFmtId="2" fontId="6" fillId="18" borderId="19" xfId="1" applyNumberFormat="1" applyFont="1" applyFill="1" applyBorder="1" applyAlignment="1">
      <alignment horizontal="center" vertical="center"/>
    </xf>
    <xf numFmtId="2" fontId="6" fillId="18" borderId="21" xfId="1" applyNumberFormat="1" applyFont="1" applyFill="1" applyBorder="1" applyAlignment="1">
      <alignment horizontal="center" vertical="center"/>
    </xf>
    <xf numFmtId="0" fontId="6" fillId="30" borderId="47" xfId="0" applyFont="1" applyFill="1" applyBorder="1" applyAlignment="1">
      <alignment horizontal="center" vertical="center"/>
    </xf>
    <xf numFmtId="0" fontId="6" fillId="30" borderId="45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7" fillId="24" borderId="48" xfId="0" applyFont="1" applyFill="1" applyBorder="1" applyAlignment="1">
      <alignment horizontal="center" vertical="center"/>
    </xf>
    <xf numFmtId="0" fontId="17" fillId="24" borderId="49" xfId="0" applyFont="1" applyFill="1" applyBorder="1" applyAlignment="1">
      <alignment horizontal="center" vertical="center"/>
    </xf>
    <xf numFmtId="0" fontId="17" fillId="24" borderId="18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5" xfId="0" applyFont="1" applyFill="1" applyBorder="1" applyAlignment="1">
      <alignment horizontal="center" vertical="center"/>
    </xf>
    <xf numFmtId="0" fontId="18" fillId="26" borderId="14" xfId="0" applyFont="1" applyFill="1" applyBorder="1" applyAlignment="1">
      <alignment horizontal="center" vertical="center"/>
    </xf>
    <xf numFmtId="0" fontId="18" fillId="26" borderId="5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 wrapText="1"/>
    </xf>
    <xf numFmtId="0" fontId="18" fillId="35" borderId="5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5" xfId="0" applyFont="1" applyFill="1" applyBorder="1" applyAlignment="1">
      <alignment horizontal="center" vertical="center" wrapText="1"/>
    </xf>
    <xf numFmtId="0" fontId="18" fillId="21" borderId="14" xfId="0" applyFont="1" applyFill="1" applyBorder="1" applyAlignment="1">
      <alignment horizontal="center" vertical="center"/>
    </xf>
    <xf numFmtId="0" fontId="18" fillId="21" borderId="5" xfId="0" applyFont="1" applyFill="1" applyBorder="1" applyAlignment="1">
      <alignment horizontal="center" vertical="center"/>
    </xf>
    <xf numFmtId="0" fontId="17" fillId="34" borderId="48" xfId="0" applyFont="1" applyFill="1" applyBorder="1" applyAlignment="1">
      <alignment horizontal="center" vertical="center"/>
    </xf>
    <xf numFmtId="0" fontId="17" fillId="34" borderId="49" xfId="0" applyFont="1" applyFill="1" applyBorder="1" applyAlignment="1">
      <alignment horizontal="center" vertical="center"/>
    </xf>
    <xf numFmtId="0" fontId="17" fillId="34" borderId="18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 wrapText="1"/>
    </xf>
    <xf numFmtId="0" fontId="18" fillId="21" borderId="1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7" fillId="24" borderId="5" xfId="0" applyFont="1" applyFill="1" applyBorder="1" applyAlignment="1">
      <alignment horizontal="center" vertical="center"/>
    </xf>
    <xf numFmtId="0" fontId="17" fillId="34" borderId="5" xfId="0" applyFont="1" applyFill="1" applyBorder="1" applyAlignment="1">
      <alignment horizontal="center" vertical="center"/>
    </xf>
    <xf numFmtId="0" fontId="17" fillId="33" borderId="5" xfId="0" applyFont="1" applyFill="1" applyBorder="1" applyAlignment="1">
      <alignment horizontal="center" vertical="center"/>
    </xf>
    <xf numFmtId="0" fontId="0" fillId="35" borderId="31" xfId="0" applyFill="1" applyBorder="1" applyAlignment="1">
      <alignment horizontal="center" vertical="center"/>
    </xf>
    <xf numFmtId="0" fontId="0" fillId="35" borderId="32" xfId="0" applyFill="1" applyBorder="1" applyAlignment="1">
      <alignment horizontal="center" vertical="center"/>
    </xf>
    <xf numFmtId="0" fontId="0" fillId="35" borderId="38" xfId="0" applyFill="1" applyBorder="1" applyAlignment="1">
      <alignment horizontal="center" vertical="center"/>
    </xf>
    <xf numFmtId="0" fontId="0" fillId="35" borderId="39" xfId="0" applyFill="1" applyBorder="1" applyAlignment="1">
      <alignment horizontal="center" vertical="center"/>
    </xf>
    <xf numFmtId="0" fontId="0" fillId="35" borderId="40" xfId="0" applyFill="1" applyBorder="1" applyAlignment="1">
      <alignment horizontal="center" vertical="center"/>
    </xf>
    <xf numFmtId="0" fontId="0" fillId="35" borderId="41" xfId="0" applyFill="1" applyBorder="1" applyAlignment="1">
      <alignment horizontal="center" vertical="center"/>
    </xf>
    <xf numFmtId="0" fontId="0" fillId="35" borderId="43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5" borderId="42" xfId="0" applyFill="1" applyBorder="1" applyAlignment="1">
      <alignment horizontal="center" vertical="center"/>
    </xf>
    <xf numFmtId="0" fontId="0" fillId="38" borderId="2" xfId="0" applyFill="1" applyBorder="1" applyAlignment="1">
      <alignment horizontal="center" vertical="center" wrapText="1"/>
    </xf>
    <xf numFmtId="0" fontId="0" fillId="38" borderId="5" xfId="0" applyFill="1" applyBorder="1" applyAlignment="1">
      <alignment horizontal="center" vertical="center" wrapText="1"/>
    </xf>
    <xf numFmtId="0" fontId="0" fillId="38" borderId="3" xfId="0" applyFill="1" applyBorder="1" applyAlignment="1">
      <alignment horizontal="center" vertical="center"/>
    </xf>
    <xf numFmtId="0" fontId="0" fillId="38" borderId="6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7" borderId="4" xfId="0" applyFill="1" applyBorder="1" applyAlignment="1">
      <alignment horizontal="center" vertical="center"/>
    </xf>
    <xf numFmtId="0" fontId="0" fillId="37" borderId="3" xfId="0" applyFill="1" applyBorder="1" applyAlignment="1">
      <alignment horizontal="center" vertical="center"/>
    </xf>
    <xf numFmtId="0" fontId="0" fillId="37" borderId="6" xfId="0" applyFill="1" applyBorder="1" applyAlignment="1">
      <alignment horizontal="center" vertical="center"/>
    </xf>
    <xf numFmtId="0" fontId="0" fillId="37" borderId="37" xfId="0" applyFill="1" applyBorder="1" applyAlignment="1">
      <alignment horizontal="center" vertical="center"/>
    </xf>
    <xf numFmtId="0" fontId="0" fillId="37" borderId="2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8" borderId="4" xfId="0" applyFill="1" applyBorder="1" applyAlignment="1">
      <alignment horizontal="center" vertical="center"/>
    </xf>
    <xf numFmtId="0" fontId="0" fillId="38" borderId="2" xfId="0" applyFill="1" applyBorder="1" applyAlignment="1">
      <alignment horizontal="center" vertical="center"/>
    </xf>
    <xf numFmtId="0" fontId="0" fillId="38" borderId="5" xfId="0" applyFill="1" applyBorder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9" fillId="22" borderId="16" xfId="0" applyFont="1" applyFill="1" applyBorder="1" applyAlignment="1">
      <alignment horizontal="center" vertical="center"/>
    </xf>
    <xf numFmtId="0" fontId="9" fillId="22" borderId="17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9" fillId="25" borderId="0" xfId="0" applyFont="1" applyFill="1" applyAlignment="1">
      <alignment horizontal="center" vertical="center"/>
    </xf>
    <xf numFmtId="0" fontId="7" fillId="0" borderId="1" xfId="7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center" vertical="center"/>
    </xf>
    <xf numFmtId="0" fontId="7" fillId="0" borderId="4" xfId="7" applyFont="1" applyFill="1" applyBorder="1" applyAlignment="1">
      <alignment horizontal="center" vertical="center"/>
    </xf>
    <xf numFmtId="0" fontId="7" fillId="0" borderId="5" xfId="7" applyFont="1" applyFill="1" applyBorder="1" applyAlignment="1">
      <alignment horizontal="center" vertical="center"/>
    </xf>
    <xf numFmtId="0" fontId="7" fillId="0" borderId="7" xfId="7" applyFont="1" applyFill="1" applyBorder="1" applyAlignment="1">
      <alignment horizontal="center" vertical="center"/>
    </xf>
    <xf numFmtId="0" fontId="7" fillId="0" borderId="8" xfId="7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6" fillId="29" borderId="0" xfId="0" applyFont="1" applyFill="1" applyAlignment="1">
      <alignment horizontal="center" vertical="center"/>
    </xf>
    <xf numFmtId="0" fontId="7" fillId="0" borderId="19" xfId="2" applyFont="1" applyFill="1" applyBorder="1" applyAlignment="1">
      <alignment horizontal="center" vertical="center"/>
    </xf>
    <xf numFmtId="0" fontId="7" fillId="0" borderId="20" xfId="2" applyFont="1" applyFill="1" applyBorder="1" applyAlignment="1">
      <alignment horizontal="center" vertical="center"/>
    </xf>
    <xf numFmtId="0" fontId="7" fillId="0" borderId="21" xfId="2" applyFont="1" applyFill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10" fillId="0" borderId="5" xfId="8" applyFont="1" applyFill="1" applyBorder="1" applyAlignment="1">
      <alignment horizontal="left" vertical="center"/>
    </xf>
    <xf numFmtId="0" fontId="10" fillId="0" borderId="6" xfId="8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32" borderId="0" xfId="0" applyFont="1" applyFill="1" applyAlignment="1">
      <alignment horizontal="center" vertical="center"/>
    </xf>
    <xf numFmtId="0" fontId="7" fillId="13" borderId="33" xfId="0" applyFont="1" applyFill="1" applyBorder="1" applyAlignment="1">
      <alignment horizontal="center" vertical="center"/>
    </xf>
    <xf numFmtId="0" fontId="7" fillId="13" borderId="34" xfId="3" applyFont="1" applyFill="1" applyBorder="1" applyAlignment="1">
      <alignment horizontal="center" vertical="center"/>
    </xf>
    <xf numFmtId="0" fontId="7" fillId="13" borderId="35" xfId="3" applyFont="1" applyFill="1" applyBorder="1" applyAlignment="1">
      <alignment horizontal="center" vertical="center"/>
    </xf>
    <xf numFmtId="0" fontId="7" fillId="10" borderId="33" xfId="9" applyFont="1" applyBorder="1" applyAlignment="1">
      <alignment horizontal="center" vertical="center"/>
    </xf>
    <xf numFmtId="0" fontId="7" fillId="10" borderId="35" xfId="9" applyFont="1" applyBorder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20" fillId="25" borderId="48" xfId="0" applyFont="1" applyFill="1" applyBorder="1" applyAlignment="1">
      <alignment horizontal="center" vertical="center"/>
    </xf>
    <xf numFmtId="0" fontId="20" fillId="25" borderId="49" xfId="0" applyFont="1" applyFill="1" applyBorder="1" applyAlignment="1">
      <alignment horizontal="center" vertical="center"/>
    </xf>
  </cellXfs>
  <cellStyles count="12">
    <cellStyle name="20% - ส่วนที่ถูกเน้น2" xfId="4" builtinId="34"/>
    <cellStyle name="20% - ส่วนที่ถูกเน้น4" xfId="8" builtinId="42"/>
    <cellStyle name="20% - ส่วนที่ถูกเน้น6" xfId="10" builtinId="50"/>
    <cellStyle name="40% - ส่วนที่ถูกเน้น2" xfId="5" builtinId="35"/>
    <cellStyle name="40% - ส่วนที่ถูกเน้น3" xfId="6" builtinId="39"/>
    <cellStyle name="60% - ส่วนที่ถูกเน้น6" xfId="11" builtinId="52"/>
    <cellStyle name="ดี" xfId="1" builtinId="26"/>
    <cellStyle name="ปกติ" xfId="0" builtinId="0"/>
    <cellStyle name="ปานกลาง" xfId="2" builtinId="28"/>
    <cellStyle name="ส่วนที่ถูกเน้น2" xfId="3" builtinId="33"/>
    <cellStyle name="ส่วนที่ถูกเน้น4" xfId="7" builtinId="41"/>
    <cellStyle name="ส่วนที่ถูกเน้น6" xfId="9" builtinId="49"/>
  </cellStyles>
  <dxfs count="0"/>
  <tableStyles count="0" defaultTableStyle="TableStyleMedium2" defaultPivotStyle="PivotStyleLight16"/>
  <colors>
    <mruColors>
      <color rgb="FFFF6600"/>
      <color rgb="FF0099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8C32-E987-4B3D-99C9-58ABB9854261}">
  <dimension ref="A1:AA131"/>
  <sheetViews>
    <sheetView tabSelected="1" topLeftCell="J19" zoomScale="70" zoomScaleNormal="70" workbookViewId="0">
      <selection activeCell="N103" sqref="N103"/>
    </sheetView>
  </sheetViews>
  <sheetFormatPr defaultRowHeight="14.4" x14ac:dyDescent="0.3"/>
  <cols>
    <col min="1" max="1" width="8.44140625" customWidth="1"/>
    <col min="2" max="2" width="27.5546875" customWidth="1"/>
    <col min="3" max="3" width="7.88671875" customWidth="1"/>
    <col min="4" max="4" width="16.77734375" customWidth="1"/>
    <col min="5" max="5" width="16.88671875" customWidth="1"/>
    <col min="6" max="6" width="8.88671875" customWidth="1"/>
    <col min="7" max="7" width="27.21875" customWidth="1"/>
    <col min="8" max="8" width="14.44140625" bestFit="1" customWidth="1"/>
    <col min="9" max="9" width="24.5546875" bestFit="1" customWidth="1"/>
    <col min="10" max="10" width="8.44140625" customWidth="1"/>
    <col min="11" max="11" width="21.77734375" customWidth="1"/>
    <col min="12" max="12" width="7.88671875" customWidth="1"/>
    <col min="13" max="13" width="16.77734375" customWidth="1"/>
    <col min="14" max="14" width="16.88671875" customWidth="1"/>
    <col min="15" max="15" width="8.88671875" customWidth="1"/>
    <col min="16" max="16" width="27.21875" customWidth="1"/>
    <col min="17" max="17" width="14.44140625" bestFit="1" customWidth="1"/>
    <col min="18" max="18" width="22" bestFit="1" customWidth="1"/>
    <col min="19" max="19" width="8.44140625" bestFit="1" customWidth="1"/>
    <col min="20" max="20" width="20.6640625" bestFit="1" customWidth="1"/>
    <col min="21" max="21" width="7.88671875" bestFit="1" customWidth="1"/>
    <col min="22" max="22" width="16.77734375" bestFit="1" customWidth="1"/>
    <col min="23" max="23" width="16.88671875" bestFit="1" customWidth="1"/>
    <col min="25" max="25" width="27.21875" bestFit="1" customWidth="1"/>
    <col min="26" max="26" width="14.44140625" bestFit="1" customWidth="1"/>
    <col min="27" max="27" width="12.77734375" bestFit="1" customWidth="1"/>
  </cols>
  <sheetData>
    <row r="1" spans="1:27" ht="15.6" x14ac:dyDescent="0.3">
      <c r="A1" s="125" t="s">
        <v>9</v>
      </c>
      <c r="B1" s="127" t="s">
        <v>10</v>
      </c>
      <c r="C1" s="127" t="s">
        <v>11</v>
      </c>
      <c r="D1" s="5" t="s">
        <v>12</v>
      </c>
      <c r="E1" s="129" t="s">
        <v>13</v>
      </c>
      <c r="F1" s="63"/>
      <c r="G1" s="131" t="s">
        <v>14</v>
      </c>
      <c r="H1" s="133" t="s">
        <v>15</v>
      </c>
      <c r="I1" s="108" t="s">
        <v>162</v>
      </c>
      <c r="J1" s="125" t="s">
        <v>9</v>
      </c>
      <c r="K1" s="127" t="s">
        <v>10</v>
      </c>
      <c r="L1" s="127" t="s">
        <v>11</v>
      </c>
      <c r="M1" s="5" t="s">
        <v>12</v>
      </c>
      <c r="N1" s="129" t="s">
        <v>13</v>
      </c>
      <c r="O1" s="63"/>
      <c r="P1" s="131" t="s">
        <v>14</v>
      </c>
      <c r="Q1" s="133" t="s">
        <v>15</v>
      </c>
      <c r="R1" s="108" t="s">
        <v>40</v>
      </c>
      <c r="S1" s="125" t="s">
        <v>9</v>
      </c>
      <c r="T1" s="127" t="s">
        <v>10</v>
      </c>
      <c r="U1" s="127" t="s">
        <v>11</v>
      </c>
      <c r="V1" s="5" t="s">
        <v>12</v>
      </c>
      <c r="W1" s="129" t="s">
        <v>13</v>
      </c>
      <c r="X1" s="63"/>
      <c r="Y1" s="131" t="s">
        <v>14</v>
      </c>
      <c r="Z1" s="133" t="s">
        <v>15</v>
      </c>
      <c r="AA1" s="108" t="s">
        <v>121</v>
      </c>
    </row>
    <row r="2" spans="1:27" ht="15.6" x14ac:dyDescent="0.3">
      <c r="A2" s="126"/>
      <c r="B2" s="128"/>
      <c r="C2" s="128"/>
      <c r="D2" s="7" t="s">
        <v>16</v>
      </c>
      <c r="E2" s="130"/>
      <c r="F2" s="6"/>
      <c r="G2" s="132"/>
      <c r="H2" s="134"/>
      <c r="I2" s="109"/>
      <c r="J2" s="126"/>
      <c r="K2" s="128"/>
      <c r="L2" s="128"/>
      <c r="M2" s="7" t="s">
        <v>16</v>
      </c>
      <c r="N2" s="130"/>
      <c r="O2" s="6"/>
      <c r="P2" s="132"/>
      <c r="Q2" s="134"/>
      <c r="R2" s="109"/>
      <c r="S2" s="126"/>
      <c r="T2" s="128"/>
      <c r="U2" s="128"/>
      <c r="V2" s="7" t="s">
        <v>16</v>
      </c>
      <c r="W2" s="130"/>
      <c r="X2" s="6"/>
      <c r="Y2" s="132"/>
      <c r="Z2" s="134"/>
      <c r="AA2" s="109"/>
    </row>
    <row r="3" spans="1:27" ht="15.6" x14ac:dyDescent="0.3">
      <c r="A3" s="8">
        <v>1</v>
      </c>
      <c r="B3" s="9" t="s">
        <v>34</v>
      </c>
      <c r="C3" s="10">
        <v>4.5999999999999996</v>
      </c>
      <c r="D3" s="10">
        <v>1500</v>
      </c>
      <c r="E3" s="14">
        <f t="shared" ref="E3:E7" si="0">C3/D3</f>
        <v>3.0666666666666663E-3</v>
      </c>
      <c r="F3" s="6"/>
      <c r="G3" s="12">
        <v>1200</v>
      </c>
      <c r="H3" s="13">
        <f t="shared" ref="H3:H7" si="1">G3*E3</f>
        <v>3.6799999999999997</v>
      </c>
      <c r="I3" s="64"/>
      <c r="J3" s="8">
        <v>1</v>
      </c>
      <c r="K3" s="9" t="s">
        <v>156</v>
      </c>
      <c r="L3" s="10">
        <v>265</v>
      </c>
      <c r="M3" s="10">
        <v>350</v>
      </c>
      <c r="N3" s="14">
        <f t="shared" ref="N3:N10" si="2">L3/M3</f>
        <v>0.75714285714285712</v>
      </c>
      <c r="O3" s="6"/>
      <c r="P3" s="12">
        <v>18</v>
      </c>
      <c r="Q3" s="13">
        <f t="shared" ref="Q3:Q10" si="3">P3*N3</f>
        <v>13.628571428571428</v>
      </c>
      <c r="R3" s="64"/>
      <c r="S3" s="8">
        <v>1</v>
      </c>
      <c r="T3" s="9" t="s">
        <v>120</v>
      </c>
      <c r="U3" s="10">
        <v>7.5</v>
      </c>
      <c r="V3" s="10">
        <v>325</v>
      </c>
      <c r="W3" s="14">
        <f t="shared" ref="W3:W6" si="4">U3/V3</f>
        <v>2.3076923076923078E-2</v>
      </c>
      <c r="X3" s="6"/>
      <c r="Y3" s="12">
        <v>100</v>
      </c>
      <c r="Z3" s="13">
        <f t="shared" ref="Z3:Z6" si="5">Y3*W3</f>
        <v>2.3076923076923079</v>
      </c>
      <c r="AA3" s="64"/>
    </row>
    <row r="4" spans="1:27" ht="15.6" x14ac:dyDescent="0.3">
      <c r="A4" s="8">
        <v>2</v>
      </c>
      <c r="B4" s="9" t="s">
        <v>161</v>
      </c>
      <c r="C4" s="10">
        <v>100</v>
      </c>
      <c r="D4" s="10">
        <v>200</v>
      </c>
      <c r="E4" s="14">
        <f t="shared" si="0"/>
        <v>0.5</v>
      </c>
      <c r="F4" s="6"/>
      <c r="G4" s="12">
        <v>50</v>
      </c>
      <c r="H4" s="15">
        <f t="shared" si="1"/>
        <v>25</v>
      </c>
      <c r="I4" s="64"/>
      <c r="J4" s="8">
        <v>2</v>
      </c>
      <c r="K4" s="9" t="s">
        <v>28</v>
      </c>
      <c r="L4" s="10">
        <v>100</v>
      </c>
      <c r="M4" s="10">
        <v>50</v>
      </c>
      <c r="N4" s="14">
        <f t="shared" si="2"/>
        <v>2</v>
      </c>
      <c r="O4" s="6"/>
      <c r="P4" s="12">
        <v>1</v>
      </c>
      <c r="Q4" s="15">
        <f t="shared" si="3"/>
        <v>2</v>
      </c>
      <c r="R4" s="64"/>
      <c r="S4" s="8">
        <v>2</v>
      </c>
      <c r="T4" s="9" t="s">
        <v>28</v>
      </c>
      <c r="U4" s="10">
        <v>100</v>
      </c>
      <c r="V4" s="10">
        <v>50</v>
      </c>
      <c r="W4" s="14">
        <f t="shared" si="4"/>
        <v>2</v>
      </c>
      <c r="X4" s="6"/>
      <c r="Y4" s="12">
        <v>1</v>
      </c>
      <c r="Z4" s="15">
        <f t="shared" si="5"/>
        <v>2</v>
      </c>
      <c r="AA4" s="64"/>
    </row>
    <row r="5" spans="1:27" ht="15.6" x14ac:dyDescent="0.3">
      <c r="A5" s="8">
        <v>3</v>
      </c>
      <c r="B5" s="9" t="s">
        <v>157</v>
      </c>
      <c r="C5" s="10">
        <v>75</v>
      </c>
      <c r="D5" s="10">
        <v>200</v>
      </c>
      <c r="E5" s="14">
        <f t="shared" si="0"/>
        <v>0.375</v>
      </c>
      <c r="F5" s="6"/>
      <c r="G5" s="12">
        <v>100</v>
      </c>
      <c r="H5" s="13">
        <f t="shared" si="1"/>
        <v>37.5</v>
      </c>
      <c r="I5" s="64"/>
      <c r="J5" s="8">
        <v>3</v>
      </c>
      <c r="K5" s="9" t="s">
        <v>29</v>
      </c>
      <c r="L5" s="10">
        <v>19</v>
      </c>
      <c r="M5" s="10">
        <v>100</v>
      </c>
      <c r="N5" s="14">
        <f t="shared" si="2"/>
        <v>0.19</v>
      </c>
      <c r="O5" s="6"/>
      <c r="P5" s="12">
        <v>1</v>
      </c>
      <c r="Q5" s="13">
        <f t="shared" si="3"/>
        <v>0.19</v>
      </c>
      <c r="R5" s="64"/>
      <c r="S5" s="8">
        <v>3</v>
      </c>
      <c r="T5" s="9" t="s">
        <v>29</v>
      </c>
      <c r="U5" s="10">
        <v>19</v>
      </c>
      <c r="V5" s="10">
        <v>100</v>
      </c>
      <c r="W5" s="14">
        <f t="shared" si="4"/>
        <v>0.19</v>
      </c>
      <c r="X5" s="6"/>
      <c r="Y5" s="12">
        <v>1</v>
      </c>
      <c r="Z5" s="13">
        <f t="shared" si="5"/>
        <v>0.19</v>
      </c>
      <c r="AA5" s="64"/>
    </row>
    <row r="6" spans="1:27" ht="15.6" x14ac:dyDescent="0.3">
      <c r="A6" s="8">
        <v>4</v>
      </c>
      <c r="B6" s="9" t="s">
        <v>160</v>
      </c>
      <c r="C6" s="10">
        <v>85</v>
      </c>
      <c r="D6" s="10">
        <v>450</v>
      </c>
      <c r="E6" s="14">
        <f t="shared" si="0"/>
        <v>0.18888888888888888</v>
      </c>
      <c r="F6" s="6"/>
      <c r="G6" s="12">
        <v>100</v>
      </c>
      <c r="H6" s="13">
        <f t="shared" si="1"/>
        <v>18.888888888888889</v>
      </c>
      <c r="I6" s="64"/>
      <c r="J6" s="8">
        <v>4</v>
      </c>
      <c r="K6" s="9" t="s">
        <v>34</v>
      </c>
      <c r="L6" s="10">
        <v>4.5999999999999996</v>
      </c>
      <c r="M6" s="10">
        <v>1500</v>
      </c>
      <c r="N6" s="14">
        <f t="shared" si="2"/>
        <v>3.0666666666666663E-3</v>
      </c>
      <c r="O6" s="6"/>
      <c r="P6" s="12">
        <v>35</v>
      </c>
      <c r="Q6" s="13">
        <f t="shared" si="3"/>
        <v>0.10733333333333332</v>
      </c>
      <c r="R6" s="64"/>
      <c r="S6" s="8">
        <v>4</v>
      </c>
      <c r="T6" s="9" t="s">
        <v>149</v>
      </c>
      <c r="U6" s="10">
        <v>219</v>
      </c>
      <c r="V6" s="10">
        <v>1000</v>
      </c>
      <c r="W6" s="14">
        <f t="shared" si="4"/>
        <v>0.219</v>
      </c>
      <c r="X6" s="6"/>
      <c r="Y6" s="12">
        <v>30</v>
      </c>
      <c r="Z6" s="13">
        <f t="shared" si="5"/>
        <v>6.57</v>
      </c>
      <c r="AA6" s="64"/>
    </row>
    <row r="7" spans="1:27" ht="15.6" x14ac:dyDescent="0.3">
      <c r="A7" s="8">
        <v>5</v>
      </c>
      <c r="B7" s="9" t="s">
        <v>155</v>
      </c>
      <c r="C7" s="10">
        <v>135</v>
      </c>
      <c r="D7" s="10">
        <v>1000</v>
      </c>
      <c r="E7" s="14">
        <f t="shared" si="0"/>
        <v>0.13500000000000001</v>
      </c>
      <c r="F7" s="6"/>
      <c r="G7" s="12">
        <v>50</v>
      </c>
      <c r="H7" s="13">
        <f t="shared" si="1"/>
        <v>6.75</v>
      </c>
      <c r="I7" s="64"/>
      <c r="J7" s="8">
        <v>5</v>
      </c>
      <c r="K7" s="9" t="s">
        <v>61</v>
      </c>
      <c r="L7" s="10">
        <v>98</v>
      </c>
      <c r="M7" s="10">
        <v>2000</v>
      </c>
      <c r="N7" s="14">
        <f t="shared" si="2"/>
        <v>4.9000000000000002E-2</v>
      </c>
      <c r="O7" s="6"/>
      <c r="P7" s="12">
        <v>130</v>
      </c>
      <c r="Q7" s="13">
        <f t="shared" si="3"/>
        <v>6.37</v>
      </c>
      <c r="R7" s="64"/>
      <c r="S7" s="8">
        <v>5</v>
      </c>
      <c r="T7" s="9"/>
      <c r="U7" s="10"/>
      <c r="V7" s="10"/>
      <c r="W7" s="14"/>
      <c r="X7" s="6"/>
      <c r="Y7" s="12"/>
      <c r="Z7" s="13"/>
      <c r="AA7" s="64"/>
    </row>
    <row r="8" spans="1:27" ht="15.6" x14ac:dyDescent="0.3">
      <c r="A8" s="8">
        <v>6</v>
      </c>
      <c r="B8" s="9"/>
      <c r="C8" s="10"/>
      <c r="D8" s="10"/>
      <c r="E8" s="14"/>
      <c r="F8" s="6"/>
      <c r="G8" s="12"/>
      <c r="H8" s="13"/>
      <c r="I8" s="64"/>
      <c r="J8" s="8">
        <v>6</v>
      </c>
      <c r="K8" s="9" t="s">
        <v>155</v>
      </c>
      <c r="L8" s="10">
        <v>135</v>
      </c>
      <c r="M8" s="10">
        <v>1000</v>
      </c>
      <c r="N8" s="14">
        <f t="shared" si="2"/>
        <v>0.13500000000000001</v>
      </c>
      <c r="O8" s="6"/>
      <c r="P8" s="12">
        <v>10</v>
      </c>
      <c r="Q8" s="13">
        <f t="shared" si="3"/>
        <v>1.35</v>
      </c>
      <c r="R8" s="64"/>
      <c r="S8" s="8">
        <v>6</v>
      </c>
      <c r="T8" s="9"/>
      <c r="U8" s="10"/>
      <c r="V8" s="10"/>
      <c r="W8" s="14"/>
      <c r="X8" s="6"/>
      <c r="Y8" s="12"/>
      <c r="Z8" s="13"/>
      <c r="AA8" s="64"/>
    </row>
    <row r="9" spans="1:27" ht="15.6" x14ac:dyDescent="0.3">
      <c r="A9" s="8">
        <v>7</v>
      </c>
      <c r="B9" s="9"/>
      <c r="C9" s="10"/>
      <c r="D9" s="10"/>
      <c r="E9" s="14"/>
      <c r="F9" s="6"/>
      <c r="G9" s="12"/>
      <c r="H9" s="13"/>
      <c r="I9" s="64"/>
      <c r="J9" s="8">
        <v>7</v>
      </c>
      <c r="K9" s="9" t="s">
        <v>148</v>
      </c>
      <c r="L9" s="10">
        <v>145</v>
      </c>
      <c r="M9" s="10">
        <v>700</v>
      </c>
      <c r="N9" s="14">
        <f t="shared" si="2"/>
        <v>0.20714285714285716</v>
      </c>
      <c r="O9" s="6"/>
      <c r="P9" s="12">
        <v>10</v>
      </c>
      <c r="Q9" s="13">
        <f t="shared" si="3"/>
        <v>2.0714285714285716</v>
      </c>
      <c r="R9" s="64"/>
      <c r="S9" s="8">
        <v>7</v>
      </c>
      <c r="T9" s="9"/>
      <c r="U9" s="10"/>
      <c r="V9" s="10"/>
      <c r="W9" s="14"/>
      <c r="X9" s="6"/>
      <c r="Y9" s="12"/>
      <c r="Z9" s="13"/>
      <c r="AA9" s="64"/>
    </row>
    <row r="10" spans="1:27" ht="15.6" x14ac:dyDescent="0.3">
      <c r="A10" s="8">
        <v>8</v>
      </c>
      <c r="B10" s="9"/>
      <c r="C10" s="10"/>
      <c r="D10" s="10"/>
      <c r="E10" s="14"/>
      <c r="F10" s="6"/>
      <c r="G10" s="12"/>
      <c r="H10" s="13"/>
      <c r="I10" s="64"/>
      <c r="J10" s="8">
        <v>8</v>
      </c>
      <c r="K10" s="9" t="s">
        <v>145</v>
      </c>
      <c r="L10" s="10">
        <v>118</v>
      </c>
      <c r="M10" s="10">
        <v>2000</v>
      </c>
      <c r="N10" s="14">
        <f t="shared" si="2"/>
        <v>5.8999999999999997E-2</v>
      </c>
      <c r="O10" s="6"/>
      <c r="P10" s="12">
        <v>30</v>
      </c>
      <c r="Q10" s="13">
        <f t="shared" si="3"/>
        <v>1.77</v>
      </c>
      <c r="R10" s="64"/>
      <c r="S10" s="8">
        <v>8</v>
      </c>
      <c r="T10" s="9"/>
      <c r="U10" s="10"/>
      <c r="V10" s="10"/>
      <c r="W10" s="14"/>
      <c r="X10" s="6"/>
      <c r="Y10" s="12"/>
      <c r="Z10" s="13"/>
      <c r="AA10" s="64"/>
    </row>
    <row r="11" spans="1:27" ht="15.6" x14ac:dyDescent="0.3">
      <c r="A11" s="8">
        <v>9</v>
      </c>
      <c r="B11" s="9"/>
      <c r="C11" s="10"/>
      <c r="D11" s="10"/>
      <c r="E11" s="14"/>
      <c r="F11" s="6"/>
      <c r="G11" s="12"/>
      <c r="H11" s="13"/>
      <c r="I11" s="64"/>
      <c r="J11" s="8">
        <v>9</v>
      </c>
      <c r="K11" s="9"/>
      <c r="L11" s="10"/>
      <c r="M11" s="10"/>
      <c r="N11" s="14"/>
      <c r="O11" s="6"/>
      <c r="P11" s="12"/>
      <c r="Q11" s="13"/>
      <c r="R11" s="64"/>
      <c r="S11" s="8">
        <v>9</v>
      </c>
      <c r="T11" s="9"/>
      <c r="U11" s="10"/>
      <c r="V11" s="10"/>
      <c r="W11" s="14"/>
      <c r="X11" s="6"/>
      <c r="Y11" s="12"/>
      <c r="Z11" s="13"/>
      <c r="AA11" s="64"/>
    </row>
    <row r="12" spans="1:27" ht="16.2" thickBot="1" x14ac:dyDescent="0.35">
      <c r="A12" s="16">
        <v>10</v>
      </c>
      <c r="B12" s="17"/>
      <c r="C12" s="18"/>
      <c r="D12" s="18"/>
      <c r="E12" s="19"/>
      <c r="F12" s="6"/>
      <c r="G12" s="12"/>
      <c r="H12" s="13"/>
      <c r="I12" s="64"/>
      <c r="J12" s="16">
        <v>10</v>
      </c>
      <c r="K12" s="17"/>
      <c r="L12" s="18"/>
      <c r="M12" s="18"/>
      <c r="N12" s="19"/>
      <c r="O12" s="6"/>
      <c r="P12" s="12"/>
      <c r="Q12" s="13"/>
      <c r="R12" s="64"/>
      <c r="S12" s="16">
        <v>10</v>
      </c>
      <c r="T12" s="17"/>
      <c r="U12" s="18"/>
      <c r="V12" s="18"/>
      <c r="W12" s="19"/>
      <c r="X12" s="6"/>
      <c r="Y12" s="12"/>
      <c r="Z12" s="13"/>
      <c r="AA12" s="64"/>
    </row>
    <row r="13" spans="1:27" ht="16.2" thickBot="1" x14ac:dyDescent="0.35">
      <c r="A13" s="65"/>
      <c r="B13" s="6"/>
      <c r="C13" s="6"/>
      <c r="D13" s="6"/>
      <c r="E13" s="6"/>
      <c r="F13" s="6"/>
      <c r="G13" s="20" t="s">
        <v>18</v>
      </c>
      <c r="H13" s="70">
        <f>SUM(H3:H12)</f>
        <v>91.818888888888893</v>
      </c>
      <c r="I13" s="64"/>
      <c r="J13" s="65"/>
      <c r="K13" s="6"/>
      <c r="L13" s="6"/>
      <c r="M13" s="6"/>
      <c r="N13" s="6"/>
      <c r="O13" s="6"/>
      <c r="P13" s="20" t="s">
        <v>18</v>
      </c>
      <c r="Q13" s="70">
        <f>SUM(Q3:Q12)</f>
        <v>27.487333333333336</v>
      </c>
      <c r="R13" s="64"/>
      <c r="S13" s="65"/>
      <c r="T13" s="6"/>
      <c r="U13" s="6"/>
      <c r="V13" s="6"/>
      <c r="W13" s="6"/>
      <c r="X13" s="6"/>
      <c r="Y13" s="20" t="s">
        <v>18</v>
      </c>
      <c r="Z13" s="70">
        <f>SUM(Z3:Z12)</f>
        <v>11.067692307692308</v>
      </c>
      <c r="AA13" s="64"/>
    </row>
    <row r="14" spans="1:27" ht="16.2" thickBot="1" x14ac:dyDescent="0.35">
      <c r="A14" s="65"/>
      <c r="B14" s="6"/>
      <c r="C14" s="6"/>
      <c r="D14" s="6"/>
      <c r="E14" s="6"/>
      <c r="F14" s="6"/>
      <c r="G14" s="6"/>
      <c r="H14" s="6"/>
      <c r="I14" s="64"/>
      <c r="J14" s="65"/>
      <c r="K14" s="6"/>
      <c r="L14" s="6"/>
      <c r="M14" s="6"/>
      <c r="N14" s="6"/>
      <c r="O14" s="6"/>
      <c r="P14" s="6"/>
      <c r="Q14" s="6"/>
      <c r="R14" s="64"/>
      <c r="S14" s="65"/>
      <c r="T14" s="6"/>
      <c r="U14" s="6"/>
      <c r="V14" s="6"/>
      <c r="W14" s="6"/>
      <c r="X14" s="6"/>
      <c r="Y14" s="6"/>
      <c r="Z14" s="6"/>
      <c r="AA14" s="64"/>
    </row>
    <row r="15" spans="1:27" ht="15.6" x14ac:dyDescent="0.3">
      <c r="A15" s="110" t="s">
        <v>19</v>
      </c>
      <c r="B15" s="111"/>
      <c r="C15" s="111"/>
      <c r="D15" s="111"/>
      <c r="E15" s="111"/>
      <c r="F15" s="111"/>
      <c r="G15" s="111"/>
      <c r="H15" s="112"/>
      <c r="I15" s="64"/>
      <c r="J15" s="110" t="s">
        <v>19</v>
      </c>
      <c r="K15" s="111"/>
      <c r="L15" s="111"/>
      <c r="M15" s="111"/>
      <c r="N15" s="111"/>
      <c r="O15" s="111"/>
      <c r="P15" s="111"/>
      <c r="Q15" s="112"/>
      <c r="R15" s="64"/>
      <c r="S15" s="110" t="s">
        <v>19</v>
      </c>
      <c r="T15" s="111"/>
      <c r="U15" s="111"/>
      <c r="V15" s="111"/>
      <c r="W15" s="111"/>
      <c r="X15" s="111"/>
      <c r="Y15" s="111"/>
      <c r="Z15" s="112"/>
      <c r="AA15" s="64"/>
    </row>
    <row r="16" spans="1:27" ht="15.6" x14ac:dyDescent="0.3">
      <c r="A16" s="113" t="s">
        <v>20</v>
      </c>
      <c r="B16" s="114"/>
      <c r="C16" s="115"/>
      <c r="D16" s="116">
        <f>H13</f>
        <v>91.818888888888893</v>
      </c>
      <c r="E16" s="116"/>
      <c r="F16" s="117" t="s">
        <v>21</v>
      </c>
      <c r="G16" s="118"/>
      <c r="H16" s="71">
        <f>D16*30%+D16</f>
        <v>119.36455555555555</v>
      </c>
      <c r="I16" s="64"/>
      <c r="J16" s="113" t="s">
        <v>20</v>
      </c>
      <c r="K16" s="114"/>
      <c r="L16" s="115"/>
      <c r="M16" s="116">
        <f>Q13</f>
        <v>27.487333333333336</v>
      </c>
      <c r="N16" s="116"/>
      <c r="O16" s="117" t="s">
        <v>21</v>
      </c>
      <c r="P16" s="118"/>
      <c r="Q16" s="71">
        <f>M16*30%+M16</f>
        <v>35.733533333333334</v>
      </c>
      <c r="R16" s="64"/>
      <c r="S16" s="113" t="s">
        <v>20</v>
      </c>
      <c r="T16" s="114"/>
      <c r="U16" s="115"/>
      <c r="V16" s="116">
        <f>Z13</f>
        <v>11.067692307692308</v>
      </c>
      <c r="W16" s="116"/>
      <c r="X16" s="117" t="s">
        <v>21</v>
      </c>
      <c r="Y16" s="118"/>
      <c r="Z16" s="71">
        <f>V16*30%+V16</f>
        <v>14.388</v>
      </c>
      <c r="AA16" s="64"/>
    </row>
    <row r="17" spans="1:27" ht="16.2" thickBot="1" x14ac:dyDescent="0.35">
      <c r="A17" s="119" t="s">
        <v>22</v>
      </c>
      <c r="B17" s="120"/>
      <c r="C17" s="121"/>
      <c r="D17" s="122">
        <f>H16</f>
        <v>119.36455555555555</v>
      </c>
      <c r="E17" s="122"/>
      <c r="F17" s="123">
        <v>1.6</v>
      </c>
      <c r="G17" s="124"/>
      <c r="H17" s="25">
        <f>D17*F17</f>
        <v>190.98328888888889</v>
      </c>
      <c r="I17" s="66"/>
      <c r="J17" s="119" t="s">
        <v>22</v>
      </c>
      <c r="K17" s="120"/>
      <c r="L17" s="121"/>
      <c r="M17" s="122">
        <f>Q16</f>
        <v>35.733533333333334</v>
      </c>
      <c r="N17" s="122"/>
      <c r="O17" s="123">
        <v>1.6</v>
      </c>
      <c r="P17" s="124"/>
      <c r="Q17" s="25">
        <f>M17*O17</f>
        <v>57.173653333333334</v>
      </c>
      <c r="R17" s="66"/>
      <c r="S17" s="119" t="s">
        <v>22</v>
      </c>
      <c r="T17" s="120"/>
      <c r="U17" s="121"/>
      <c r="V17" s="122">
        <f>Z16</f>
        <v>14.388</v>
      </c>
      <c r="W17" s="122"/>
      <c r="X17" s="123">
        <v>1.6</v>
      </c>
      <c r="Y17" s="124"/>
      <c r="Z17" s="25">
        <f>V17*X17</f>
        <v>23.020800000000001</v>
      </c>
      <c r="AA17" s="66"/>
    </row>
    <row r="19" spans="1:27" ht="15" thickBot="1" x14ac:dyDescent="0.35"/>
    <row r="20" spans="1:27" ht="15.6" x14ac:dyDescent="0.3">
      <c r="A20" s="125" t="s">
        <v>9</v>
      </c>
      <c r="B20" s="127" t="s">
        <v>10</v>
      </c>
      <c r="C20" s="127" t="s">
        <v>11</v>
      </c>
      <c r="D20" s="5" t="s">
        <v>12</v>
      </c>
      <c r="E20" s="129" t="s">
        <v>13</v>
      </c>
      <c r="F20" s="63"/>
      <c r="G20" s="131" t="s">
        <v>14</v>
      </c>
      <c r="H20" s="133" t="s">
        <v>15</v>
      </c>
      <c r="I20" s="108" t="s">
        <v>163</v>
      </c>
      <c r="J20" s="125" t="s">
        <v>9</v>
      </c>
      <c r="K20" s="127" t="s">
        <v>10</v>
      </c>
      <c r="L20" s="127" t="s">
        <v>11</v>
      </c>
      <c r="M20" s="5" t="s">
        <v>12</v>
      </c>
      <c r="N20" s="129" t="s">
        <v>13</v>
      </c>
      <c r="O20" s="63"/>
      <c r="P20" s="131" t="s">
        <v>14</v>
      </c>
      <c r="Q20" s="133" t="s">
        <v>15</v>
      </c>
      <c r="R20" s="108" t="s">
        <v>165</v>
      </c>
      <c r="S20" s="125" t="s">
        <v>9</v>
      </c>
      <c r="T20" s="127" t="s">
        <v>10</v>
      </c>
      <c r="U20" s="127" t="s">
        <v>11</v>
      </c>
      <c r="V20" s="5" t="s">
        <v>12</v>
      </c>
      <c r="W20" s="129" t="s">
        <v>13</v>
      </c>
      <c r="X20" s="63"/>
      <c r="Y20" s="131" t="s">
        <v>14</v>
      </c>
      <c r="Z20" s="133" t="s">
        <v>15</v>
      </c>
      <c r="AA20" s="108" t="s">
        <v>121</v>
      </c>
    </row>
    <row r="21" spans="1:27" ht="15.6" x14ac:dyDescent="0.3">
      <c r="A21" s="126"/>
      <c r="B21" s="128"/>
      <c r="C21" s="128"/>
      <c r="D21" s="7" t="s">
        <v>16</v>
      </c>
      <c r="E21" s="130"/>
      <c r="F21" s="6"/>
      <c r="G21" s="132"/>
      <c r="H21" s="134"/>
      <c r="I21" s="109"/>
      <c r="J21" s="126"/>
      <c r="K21" s="128"/>
      <c r="L21" s="128"/>
      <c r="M21" s="7" t="s">
        <v>16</v>
      </c>
      <c r="N21" s="130"/>
      <c r="O21" s="6"/>
      <c r="P21" s="132"/>
      <c r="Q21" s="134"/>
      <c r="R21" s="109"/>
      <c r="S21" s="126"/>
      <c r="T21" s="128"/>
      <c r="U21" s="128"/>
      <c r="V21" s="7" t="s">
        <v>16</v>
      </c>
      <c r="W21" s="130"/>
      <c r="X21" s="6"/>
      <c r="Y21" s="132"/>
      <c r="Z21" s="134"/>
      <c r="AA21" s="109"/>
    </row>
    <row r="22" spans="1:27" ht="15.6" x14ac:dyDescent="0.3">
      <c r="A22" s="8">
        <v>1</v>
      </c>
      <c r="B22" s="9" t="s">
        <v>162</v>
      </c>
      <c r="C22" s="10">
        <v>120</v>
      </c>
      <c r="D22" s="10">
        <v>900</v>
      </c>
      <c r="E22" s="14">
        <f t="shared" ref="E22:E29" si="6">C22/D22</f>
        <v>0.13333333333333333</v>
      </c>
      <c r="F22" s="6"/>
      <c r="G22" s="12">
        <v>110</v>
      </c>
      <c r="H22" s="13">
        <f t="shared" ref="H22:H29" si="7">G22*E22</f>
        <v>14.666666666666666</v>
      </c>
      <c r="I22" s="64"/>
      <c r="J22" s="8">
        <v>1</v>
      </c>
      <c r="K22" s="9" t="s">
        <v>156</v>
      </c>
      <c r="L22" s="10">
        <v>265</v>
      </c>
      <c r="M22" s="10">
        <v>350</v>
      </c>
      <c r="N22" s="14">
        <f t="shared" ref="N22:N30" si="8">L22/M22</f>
        <v>0.75714285714285712</v>
      </c>
      <c r="O22" s="6"/>
      <c r="P22" s="12">
        <v>18</v>
      </c>
      <c r="Q22" s="13">
        <f t="shared" ref="Q22:Q30" si="9">P22*N22</f>
        <v>13.628571428571428</v>
      </c>
      <c r="R22" s="64"/>
      <c r="S22" s="8">
        <v>1</v>
      </c>
      <c r="T22" s="9" t="s">
        <v>120</v>
      </c>
      <c r="U22" s="10">
        <v>7.5</v>
      </c>
      <c r="V22" s="10">
        <v>325</v>
      </c>
      <c r="W22" s="14">
        <f t="shared" ref="W22:W28" si="10">U22/V22</f>
        <v>2.3076923076923078E-2</v>
      </c>
      <c r="X22" s="6"/>
      <c r="Y22" s="12">
        <v>100</v>
      </c>
      <c r="Z22" s="13">
        <f t="shared" ref="Z22:Z28" si="11">Y22*W22</f>
        <v>2.3076923076923079</v>
      </c>
      <c r="AA22" s="64"/>
    </row>
    <row r="23" spans="1:27" ht="15.6" x14ac:dyDescent="0.3">
      <c r="A23" s="8">
        <v>2</v>
      </c>
      <c r="B23" s="9" t="s">
        <v>28</v>
      </c>
      <c r="C23" s="10">
        <v>100</v>
      </c>
      <c r="D23" s="10">
        <v>50</v>
      </c>
      <c r="E23" s="14">
        <f t="shared" si="6"/>
        <v>2</v>
      </c>
      <c r="F23" s="6"/>
      <c r="G23" s="12">
        <v>1</v>
      </c>
      <c r="H23" s="15">
        <f t="shared" si="7"/>
        <v>2</v>
      </c>
      <c r="I23" s="64"/>
      <c r="J23" s="8">
        <v>2</v>
      </c>
      <c r="K23" s="9" t="s">
        <v>28</v>
      </c>
      <c r="L23" s="10">
        <v>100</v>
      </c>
      <c r="M23" s="10">
        <v>50</v>
      </c>
      <c r="N23" s="14">
        <f t="shared" si="8"/>
        <v>2</v>
      </c>
      <c r="O23" s="6"/>
      <c r="P23" s="12">
        <v>1</v>
      </c>
      <c r="Q23" s="15">
        <f t="shared" si="9"/>
        <v>2</v>
      </c>
      <c r="R23" s="64"/>
      <c r="S23" s="8">
        <v>2</v>
      </c>
      <c r="T23" s="9" t="s">
        <v>28</v>
      </c>
      <c r="U23" s="10">
        <v>100</v>
      </c>
      <c r="V23" s="10">
        <v>50</v>
      </c>
      <c r="W23" s="14">
        <f t="shared" si="10"/>
        <v>2</v>
      </c>
      <c r="X23" s="6"/>
      <c r="Y23" s="12">
        <v>1</v>
      </c>
      <c r="Z23" s="15">
        <f t="shared" si="11"/>
        <v>2</v>
      </c>
      <c r="AA23" s="64"/>
    </row>
    <row r="24" spans="1:27" ht="15.6" x14ac:dyDescent="0.3">
      <c r="A24" s="8">
        <v>3</v>
      </c>
      <c r="B24" s="9" t="s">
        <v>29</v>
      </c>
      <c r="C24" s="10">
        <v>19</v>
      </c>
      <c r="D24" s="10">
        <v>100</v>
      </c>
      <c r="E24" s="14">
        <f t="shared" si="6"/>
        <v>0.19</v>
      </c>
      <c r="F24" s="6"/>
      <c r="G24" s="12">
        <v>1</v>
      </c>
      <c r="H24" s="13">
        <f t="shared" si="7"/>
        <v>0.19</v>
      </c>
      <c r="I24" s="64">
        <v>70</v>
      </c>
      <c r="J24" s="8">
        <v>3</v>
      </c>
      <c r="K24" s="9" t="s">
        <v>29</v>
      </c>
      <c r="L24" s="10">
        <v>19</v>
      </c>
      <c r="M24" s="10">
        <v>100</v>
      </c>
      <c r="N24" s="14">
        <f t="shared" si="8"/>
        <v>0.19</v>
      </c>
      <c r="O24" s="6"/>
      <c r="P24" s="12">
        <v>1</v>
      </c>
      <c r="Q24" s="13">
        <f t="shared" si="9"/>
        <v>0.19</v>
      </c>
      <c r="R24" s="64"/>
      <c r="S24" s="8">
        <v>3</v>
      </c>
      <c r="T24" s="9" t="s">
        <v>29</v>
      </c>
      <c r="U24" s="10">
        <v>19</v>
      </c>
      <c r="V24" s="10">
        <v>100</v>
      </c>
      <c r="W24" s="14">
        <f t="shared" si="10"/>
        <v>0.19</v>
      </c>
      <c r="X24" s="6"/>
      <c r="Y24" s="12">
        <v>1</v>
      </c>
      <c r="Z24" s="13">
        <f t="shared" si="11"/>
        <v>0.19</v>
      </c>
      <c r="AA24" s="64"/>
    </row>
    <row r="25" spans="1:27" ht="15.6" x14ac:dyDescent="0.3">
      <c r="A25" s="8">
        <v>4</v>
      </c>
      <c r="B25" s="9" t="s">
        <v>61</v>
      </c>
      <c r="C25" s="10">
        <v>98</v>
      </c>
      <c r="D25" s="10">
        <v>2000</v>
      </c>
      <c r="E25" s="14">
        <f t="shared" si="6"/>
        <v>4.9000000000000002E-2</v>
      </c>
      <c r="F25" s="6"/>
      <c r="G25" s="12">
        <v>40</v>
      </c>
      <c r="H25" s="13">
        <f t="shared" si="7"/>
        <v>1.96</v>
      </c>
      <c r="I25" s="64">
        <v>37.51</v>
      </c>
      <c r="J25" s="8">
        <v>4</v>
      </c>
      <c r="K25" s="9" t="s">
        <v>34</v>
      </c>
      <c r="L25" s="10">
        <v>4.5999999999999996</v>
      </c>
      <c r="M25" s="10">
        <v>1500</v>
      </c>
      <c r="N25" s="14">
        <f t="shared" si="8"/>
        <v>3.0666666666666663E-3</v>
      </c>
      <c r="O25" s="6"/>
      <c r="P25" s="12">
        <v>35</v>
      </c>
      <c r="Q25" s="13">
        <f t="shared" si="9"/>
        <v>0.10733333333333332</v>
      </c>
      <c r="R25" s="64"/>
      <c r="S25" s="8">
        <v>4</v>
      </c>
      <c r="T25" s="9" t="s">
        <v>149</v>
      </c>
      <c r="U25" s="10">
        <v>219</v>
      </c>
      <c r="V25" s="10">
        <v>1000</v>
      </c>
      <c r="W25" s="14">
        <f t="shared" si="10"/>
        <v>0.219</v>
      </c>
      <c r="X25" s="6"/>
      <c r="Y25" s="12">
        <v>20</v>
      </c>
      <c r="Z25" s="13">
        <f t="shared" si="11"/>
        <v>4.38</v>
      </c>
      <c r="AA25" s="64"/>
    </row>
    <row r="26" spans="1:27" ht="15.6" x14ac:dyDescent="0.3">
      <c r="A26" s="8">
        <v>5</v>
      </c>
      <c r="B26" s="9" t="s">
        <v>144</v>
      </c>
      <c r="C26" s="10">
        <v>55</v>
      </c>
      <c r="D26" s="10">
        <v>1000</v>
      </c>
      <c r="E26" s="14">
        <f t="shared" si="6"/>
        <v>5.5E-2</v>
      </c>
      <c r="F26" s="6"/>
      <c r="G26" s="12">
        <v>55</v>
      </c>
      <c r="H26" s="13">
        <f t="shared" si="7"/>
        <v>3.0249999999999999</v>
      </c>
      <c r="I26" s="64">
        <f>I24-I25</f>
        <v>32.49</v>
      </c>
      <c r="J26" s="8">
        <v>5</v>
      </c>
      <c r="K26" s="9" t="s">
        <v>61</v>
      </c>
      <c r="L26" s="10">
        <v>98</v>
      </c>
      <c r="M26" s="10">
        <v>2000</v>
      </c>
      <c r="N26" s="14">
        <f t="shared" si="8"/>
        <v>4.9000000000000002E-2</v>
      </c>
      <c r="O26" s="6"/>
      <c r="P26" s="12">
        <v>130</v>
      </c>
      <c r="Q26" s="13">
        <f t="shared" si="9"/>
        <v>6.37</v>
      </c>
      <c r="R26" s="64"/>
      <c r="S26" s="8">
        <v>5</v>
      </c>
      <c r="T26" s="9" t="s">
        <v>34</v>
      </c>
      <c r="U26" s="10">
        <v>4.5999999999999996</v>
      </c>
      <c r="V26" s="10">
        <v>1500</v>
      </c>
      <c r="W26" s="14">
        <f t="shared" si="10"/>
        <v>3.0666666666666663E-3</v>
      </c>
      <c r="X26" s="6"/>
      <c r="Y26" s="12">
        <v>30</v>
      </c>
      <c r="Z26" s="13">
        <f t="shared" si="11"/>
        <v>9.1999999999999985E-2</v>
      </c>
      <c r="AA26" s="64"/>
    </row>
    <row r="27" spans="1:27" ht="15.6" x14ac:dyDescent="0.3">
      <c r="A27" s="8">
        <v>6</v>
      </c>
      <c r="B27" s="9" t="s">
        <v>145</v>
      </c>
      <c r="C27" s="10">
        <v>118</v>
      </c>
      <c r="D27" s="10">
        <v>2000</v>
      </c>
      <c r="E27" s="14">
        <f t="shared" si="6"/>
        <v>5.8999999999999997E-2</v>
      </c>
      <c r="F27" s="6"/>
      <c r="G27" s="12">
        <v>25</v>
      </c>
      <c r="H27" s="13">
        <f t="shared" si="7"/>
        <v>1.4749999999999999</v>
      </c>
      <c r="I27" s="64"/>
      <c r="J27" s="8">
        <v>6</v>
      </c>
      <c r="K27" s="9" t="s">
        <v>155</v>
      </c>
      <c r="L27" s="10">
        <v>135</v>
      </c>
      <c r="M27" s="10">
        <v>1000</v>
      </c>
      <c r="N27" s="14">
        <f t="shared" si="8"/>
        <v>0.13500000000000001</v>
      </c>
      <c r="O27" s="6"/>
      <c r="P27" s="12">
        <v>10</v>
      </c>
      <c r="Q27" s="13">
        <f t="shared" si="9"/>
        <v>1.35</v>
      </c>
      <c r="R27" s="64"/>
      <c r="S27" s="8">
        <v>6</v>
      </c>
      <c r="T27" s="9" t="s">
        <v>147</v>
      </c>
      <c r="U27" s="10">
        <v>150</v>
      </c>
      <c r="V27" s="10">
        <v>1000</v>
      </c>
      <c r="W27" s="14">
        <f t="shared" si="10"/>
        <v>0.15</v>
      </c>
      <c r="X27" s="6"/>
      <c r="Y27" s="12">
        <v>20</v>
      </c>
      <c r="Z27" s="13">
        <f t="shared" si="11"/>
        <v>3</v>
      </c>
      <c r="AA27" s="64"/>
    </row>
    <row r="28" spans="1:27" ht="15.6" x14ac:dyDescent="0.3">
      <c r="A28" s="8">
        <v>7</v>
      </c>
      <c r="B28" s="9"/>
      <c r="C28" s="10"/>
      <c r="D28" s="10"/>
      <c r="E28" s="14"/>
      <c r="F28" s="6"/>
      <c r="G28" s="12">
        <v>0</v>
      </c>
      <c r="H28" s="13">
        <f t="shared" si="7"/>
        <v>0</v>
      </c>
      <c r="I28" s="64"/>
      <c r="J28" s="8">
        <v>7</v>
      </c>
      <c r="K28" s="9" t="s">
        <v>148</v>
      </c>
      <c r="L28" s="10">
        <v>145</v>
      </c>
      <c r="M28" s="10">
        <v>700</v>
      </c>
      <c r="N28" s="14">
        <f t="shared" si="8"/>
        <v>0.20714285714285716</v>
      </c>
      <c r="O28" s="6"/>
      <c r="P28" s="12">
        <v>10</v>
      </c>
      <c r="Q28" s="13">
        <f t="shared" si="9"/>
        <v>2.0714285714285716</v>
      </c>
      <c r="R28" s="64"/>
      <c r="S28" s="8">
        <v>7</v>
      </c>
      <c r="T28" s="9" t="s">
        <v>153</v>
      </c>
      <c r="U28" s="10">
        <v>27</v>
      </c>
      <c r="V28" s="10">
        <v>250</v>
      </c>
      <c r="W28" s="14">
        <f t="shared" si="10"/>
        <v>0.108</v>
      </c>
      <c r="X28" s="6"/>
      <c r="Y28" s="12">
        <v>10</v>
      </c>
      <c r="Z28" s="13">
        <f t="shared" si="11"/>
        <v>1.08</v>
      </c>
      <c r="AA28" s="64"/>
    </row>
    <row r="29" spans="1:27" ht="15.6" x14ac:dyDescent="0.3">
      <c r="A29" s="8">
        <v>8</v>
      </c>
      <c r="B29" s="9" t="s">
        <v>209</v>
      </c>
      <c r="C29" s="10">
        <v>115</v>
      </c>
      <c r="D29" s="10">
        <v>1000</v>
      </c>
      <c r="E29" s="14">
        <f t="shared" si="6"/>
        <v>0.115</v>
      </c>
      <c r="F29" s="6"/>
      <c r="G29" s="12">
        <v>0</v>
      </c>
      <c r="H29" s="13">
        <f t="shared" si="7"/>
        <v>0</v>
      </c>
      <c r="I29" s="64">
        <v>50</v>
      </c>
      <c r="J29" s="8">
        <v>8</v>
      </c>
      <c r="K29" s="9" t="s">
        <v>145</v>
      </c>
      <c r="L29" s="10">
        <v>118</v>
      </c>
      <c r="M29" s="10">
        <v>2000</v>
      </c>
      <c r="N29" s="14">
        <f t="shared" si="8"/>
        <v>5.8999999999999997E-2</v>
      </c>
      <c r="O29" s="6"/>
      <c r="P29" s="12">
        <v>25</v>
      </c>
      <c r="Q29" s="13">
        <f t="shared" si="9"/>
        <v>1.4749999999999999</v>
      </c>
      <c r="R29" s="64"/>
      <c r="S29" s="8">
        <v>8</v>
      </c>
      <c r="T29" s="9"/>
      <c r="U29" s="10"/>
      <c r="V29" s="10"/>
      <c r="W29" s="14"/>
      <c r="X29" s="6"/>
      <c r="Y29" s="12"/>
      <c r="Z29" s="13"/>
      <c r="AA29" s="64"/>
    </row>
    <row r="30" spans="1:27" ht="15.6" x14ac:dyDescent="0.3">
      <c r="A30" s="8">
        <v>9</v>
      </c>
      <c r="B30" s="9"/>
      <c r="C30" s="10"/>
      <c r="D30" s="10"/>
      <c r="E30" s="14"/>
      <c r="F30" s="6"/>
      <c r="G30" s="12"/>
      <c r="H30" s="13"/>
      <c r="I30" s="64">
        <v>28.25</v>
      </c>
      <c r="J30" s="8">
        <v>9</v>
      </c>
      <c r="K30" s="9" t="s">
        <v>152</v>
      </c>
      <c r="L30" s="10">
        <v>390</v>
      </c>
      <c r="M30" s="10">
        <v>700</v>
      </c>
      <c r="N30" s="14">
        <f t="shared" si="8"/>
        <v>0.55714285714285716</v>
      </c>
      <c r="O30" s="6"/>
      <c r="P30" s="12">
        <v>15</v>
      </c>
      <c r="Q30" s="13">
        <f t="shared" si="9"/>
        <v>8.3571428571428577</v>
      </c>
      <c r="R30" s="64"/>
      <c r="S30" s="8">
        <v>9</v>
      </c>
      <c r="T30" s="9"/>
      <c r="U30" s="10"/>
      <c r="V30" s="10"/>
      <c r="W30" s="14"/>
      <c r="X30" s="6"/>
      <c r="Y30" s="12"/>
      <c r="Z30" s="13"/>
      <c r="AA30" s="64"/>
    </row>
    <row r="31" spans="1:27" ht="16.2" thickBot="1" x14ac:dyDescent="0.35">
      <c r="A31" s="16">
        <v>10</v>
      </c>
      <c r="B31" s="17"/>
      <c r="C31" s="18"/>
      <c r="D31" s="18"/>
      <c r="E31" s="19"/>
      <c r="F31" s="6"/>
      <c r="G31" s="12"/>
      <c r="H31" s="13"/>
      <c r="I31" s="64">
        <f>I29-I30</f>
        <v>21.75</v>
      </c>
      <c r="J31" s="16">
        <v>10</v>
      </c>
      <c r="K31" s="17"/>
      <c r="L31" s="18"/>
      <c r="M31" s="18"/>
      <c r="N31" s="19"/>
      <c r="O31" s="6"/>
      <c r="P31" s="12"/>
      <c r="Q31" s="13"/>
      <c r="R31" s="64"/>
      <c r="S31" s="16">
        <v>10</v>
      </c>
      <c r="T31" s="17"/>
      <c r="U31" s="18"/>
      <c r="V31" s="18"/>
      <c r="W31" s="19"/>
      <c r="X31" s="6"/>
      <c r="Y31" s="12"/>
      <c r="Z31" s="13"/>
      <c r="AA31" s="64"/>
    </row>
    <row r="32" spans="1:27" ht="16.2" thickBot="1" x14ac:dyDescent="0.35">
      <c r="A32" s="65"/>
      <c r="B32" s="6"/>
      <c r="C32" s="6"/>
      <c r="D32" s="6"/>
      <c r="E32" s="6"/>
      <c r="F32" s="6"/>
      <c r="G32" s="20" t="s">
        <v>18</v>
      </c>
      <c r="H32" s="70">
        <f>SUM(H22:H31)</f>
        <v>23.316666666666666</v>
      </c>
      <c r="I32" s="64"/>
      <c r="J32" s="65"/>
      <c r="K32" s="6"/>
      <c r="L32" s="6"/>
      <c r="M32" s="6"/>
      <c r="N32" s="6"/>
      <c r="O32" s="6"/>
      <c r="P32" s="20" t="s">
        <v>18</v>
      </c>
      <c r="Q32" s="70">
        <f>SUM(Q22:Q31)</f>
        <v>35.549476190476199</v>
      </c>
      <c r="R32" s="64"/>
      <c r="S32" s="65"/>
      <c r="T32" s="6"/>
      <c r="U32" s="6"/>
      <c r="V32" s="6"/>
      <c r="W32" s="6"/>
      <c r="X32" s="6"/>
      <c r="Y32" s="20" t="s">
        <v>18</v>
      </c>
      <c r="Z32" s="70">
        <f>SUM(Z22:Z31)</f>
        <v>13.049692307692309</v>
      </c>
      <c r="AA32" s="64"/>
    </row>
    <row r="33" spans="1:27" ht="16.2" thickBot="1" x14ac:dyDescent="0.35">
      <c r="A33" s="65"/>
      <c r="B33" s="6"/>
      <c r="C33" s="6"/>
      <c r="D33" s="6"/>
      <c r="E33" s="6"/>
      <c r="F33" s="6"/>
      <c r="G33" s="6"/>
      <c r="H33" s="6"/>
      <c r="I33" s="64"/>
      <c r="J33" s="65"/>
      <c r="K33" s="6"/>
      <c r="L33" s="6"/>
      <c r="M33" s="6"/>
      <c r="N33" s="6"/>
      <c r="O33" s="6"/>
      <c r="P33" s="6"/>
      <c r="Q33" s="6"/>
      <c r="R33" s="64"/>
      <c r="S33" s="65"/>
      <c r="T33" s="6"/>
      <c r="U33" s="6"/>
      <c r="V33" s="6"/>
      <c r="W33" s="6"/>
      <c r="X33" s="6"/>
      <c r="Y33" s="6"/>
      <c r="Z33" s="6"/>
      <c r="AA33" s="64"/>
    </row>
    <row r="34" spans="1:27" ht="15.6" x14ac:dyDescent="0.3">
      <c r="A34" s="110" t="s">
        <v>19</v>
      </c>
      <c r="B34" s="111"/>
      <c r="C34" s="111"/>
      <c r="D34" s="111"/>
      <c r="E34" s="111"/>
      <c r="F34" s="111"/>
      <c r="G34" s="111"/>
      <c r="H34" s="112"/>
      <c r="I34" s="64"/>
      <c r="J34" s="110" t="s">
        <v>19</v>
      </c>
      <c r="K34" s="111"/>
      <c r="L34" s="111"/>
      <c r="M34" s="111"/>
      <c r="N34" s="111"/>
      <c r="O34" s="111"/>
      <c r="P34" s="111"/>
      <c r="Q34" s="112"/>
      <c r="R34" s="64"/>
      <c r="S34" s="110" t="s">
        <v>19</v>
      </c>
      <c r="T34" s="111"/>
      <c r="U34" s="111"/>
      <c r="V34" s="111"/>
      <c r="W34" s="111"/>
      <c r="X34" s="111"/>
      <c r="Y34" s="111"/>
      <c r="Z34" s="112"/>
      <c r="AA34" s="64"/>
    </row>
    <row r="35" spans="1:27" ht="15.6" x14ac:dyDescent="0.3">
      <c r="A35" s="113" t="s">
        <v>20</v>
      </c>
      <c r="B35" s="114"/>
      <c r="C35" s="115"/>
      <c r="D35" s="116">
        <f>H32</f>
        <v>23.316666666666666</v>
      </c>
      <c r="E35" s="116"/>
      <c r="F35" s="117" t="s">
        <v>21</v>
      </c>
      <c r="G35" s="118"/>
      <c r="H35" s="71">
        <f>D35*30%+D35</f>
        <v>30.311666666666667</v>
      </c>
      <c r="I35" s="64"/>
      <c r="J35" s="113" t="s">
        <v>20</v>
      </c>
      <c r="K35" s="114"/>
      <c r="L35" s="115"/>
      <c r="M35" s="116">
        <f>Q32</f>
        <v>35.549476190476199</v>
      </c>
      <c r="N35" s="116"/>
      <c r="O35" s="117" t="s">
        <v>21</v>
      </c>
      <c r="P35" s="118"/>
      <c r="Q35" s="71">
        <f>M35*30%+M35</f>
        <v>46.214319047619057</v>
      </c>
      <c r="R35" s="64"/>
      <c r="S35" s="113" t="s">
        <v>20</v>
      </c>
      <c r="T35" s="114"/>
      <c r="U35" s="115"/>
      <c r="V35" s="116">
        <f>Z32</f>
        <v>13.049692307692309</v>
      </c>
      <c r="W35" s="116"/>
      <c r="X35" s="117" t="s">
        <v>21</v>
      </c>
      <c r="Y35" s="118"/>
      <c r="Z35" s="71">
        <f>V35*30%+V35</f>
        <v>16.964600000000001</v>
      </c>
      <c r="AA35" s="64"/>
    </row>
    <row r="36" spans="1:27" ht="16.2" thickBot="1" x14ac:dyDescent="0.35">
      <c r="A36" s="119" t="s">
        <v>22</v>
      </c>
      <c r="B36" s="120"/>
      <c r="C36" s="121"/>
      <c r="D36" s="122">
        <f>H35</f>
        <v>30.311666666666667</v>
      </c>
      <c r="E36" s="122"/>
      <c r="F36" s="123">
        <v>1.6</v>
      </c>
      <c r="G36" s="124"/>
      <c r="H36" s="25">
        <f>D36*F36</f>
        <v>48.498666666666672</v>
      </c>
      <c r="I36" s="66"/>
      <c r="J36" s="119" t="s">
        <v>22</v>
      </c>
      <c r="K36" s="120"/>
      <c r="L36" s="121"/>
      <c r="M36" s="122">
        <f>Q35</f>
        <v>46.214319047619057</v>
      </c>
      <c r="N36" s="122"/>
      <c r="O36" s="123">
        <v>1.6</v>
      </c>
      <c r="P36" s="124"/>
      <c r="Q36" s="25">
        <f>M36*O36</f>
        <v>73.942910476190491</v>
      </c>
      <c r="R36" s="66"/>
      <c r="S36" s="119" t="s">
        <v>22</v>
      </c>
      <c r="T36" s="120"/>
      <c r="U36" s="121"/>
      <c r="V36" s="122">
        <f>Z35</f>
        <v>16.964600000000001</v>
      </c>
      <c r="W36" s="122"/>
      <c r="X36" s="123">
        <v>1.6</v>
      </c>
      <c r="Y36" s="124"/>
      <c r="Z36" s="25">
        <f>V36*X36</f>
        <v>27.143360000000001</v>
      </c>
      <c r="AA36" s="66"/>
    </row>
    <row r="38" spans="1:27" ht="15" thickBot="1" x14ac:dyDescent="0.35"/>
    <row r="39" spans="1:27" ht="15.6" x14ac:dyDescent="0.3">
      <c r="A39" s="125" t="s">
        <v>9</v>
      </c>
      <c r="B39" s="127" t="s">
        <v>10</v>
      </c>
      <c r="C39" s="127" t="s">
        <v>11</v>
      </c>
      <c r="D39" s="5" t="s">
        <v>12</v>
      </c>
      <c r="E39" s="129" t="s">
        <v>13</v>
      </c>
      <c r="F39" s="63"/>
      <c r="G39" s="131" t="s">
        <v>14</v>
      </c>
      <c r="H39" s="133" t="s">
        <v>15</v>
      </c>
      <c r="I39" s="108" t="s">
        <v>68</v>
      </c>
      <c r="J39" s="125" t="s">
        <v>9</v>
      </c>
      <c r="K39" s="127" t="s">
        <v>10</v>
      </c>
      <c r="L39" s="127" t="s">
        <v>11</v>
      </c>
      <c r="M39" s="5" t="s">
        <v>12</v>
      </c>
      <c r="N39" s="129" t="s">
        <v>13</v>
      </c>
      <c r="O39" s="63"/>
      <c r="P39" s="131" t="s">
        <v>14</v>
      </c>
      <c r="Q39" s="133" t="s">
        <v>15</v>
      </c>
      <c r="R39" s="108" t="s">
        <v>17</v>
      </c>
      <c r="S39" s="125" t="s">
        <v>9</v>
      </c>
      <c r="T39" s="127" t="s">
        <v>10</v>
      </c>
      <c r="U39" s="127" t="s">
        <v>11</v>
      </c>
      <c r="V39" s="5" t="s">
        <v>12</v>
      </c>
      <c r="W39" s="129" t="s">
        <v>13</v>
      </c>
      <c r="X39" s="63"/>
      <c r="Y39" s="131" t="s">
        <v>14</v>
      </c>
      <c r="Z39" s="133" t="s">
        <v>15</v>
      </c>
      <c r="AA39" s="108" t="s">
        <v>203</v>
      </c>
    </row>
    <row r="40" spans="1:27" ht="15.6" x14ac:dyDescent="0.3">
      <c r="A40" s="126"/>
      <c r="B40" s="128"/>
      <c r="C40" s="128"/>
      <c r="D40" s="7" t="s">
        <v>16</v>
      </c>
      <c r="E40" s="130"/>
      <c r="F40" s="6"/>
      <c r="G40" s="132"/>
      <c r="H40" s="134"/>
      <c r="I40" s="109"/>
      <c r="J40" s="126"/>
      <c r="K40" s="128"/>
      <c r="L40" s="128"/>
      <c r="M40" s="7" t="s">
        <v>16</v>
      </c>
      <c r="N40" s="130"/>
      <c r="O40" s="6"/>
      <c r="P40" s="132"/>
      <c r="Q40" s="134"/>
      <c r="R40" s="109"/>
      <c r="S40" s="126"/>
      <c r="T40" s="128"/>
      <c r="U40" s="128"/>
      <c r="V40" s="7" t="s">
        <v>16</v>
      </c>
      <c r="W40" s="130"/>
      <c r="X40" s="6"/>
      <c r="Y40" s="132"/>
      <c r="Z40" s="134"/>
      <c r="AA40" s="109"/>
    </row>
    <row r="41" spans="1:27" ht="15.6" x14ac:dyDescent="0.3">
      <c r="A41" s="8">
        <v>1</v>
      </c>
      <c r="B41" s="9" t="s">
        <v>162</v>
      </c>
      <c r="C41" s="10">
        <v>120</v>
      </c>
      <c r="D41" s="10">
        <v>900</v>
      </c>
      <c r="E41" s="14">
        <f t="shared" ref="E41:E46" si="12">C41/D41</f>
        <v>0.13333333333333333</v>
      </c>
      <c r="F41" s="6"/>
      <c r="G41" s="12">
        <v>100</v>
      </c>
      <c r="H41" s="13">
        <f t="shared" ref="H41:H46" si="13">G41*E41</f>
        <v>13.333333333333334</v>
      </c>
      <c r="I41" s="64"/>
      <c r="J41" s="8">
        <v>1</v>
      </c>
      <c r="K41" s="9" t="s">
        <v>61</v>
      </c>
      <c r="L41" s="10">
        <v>98</v>
      </c>
      <c r="M41" s="10">
        <v>2000</v>
      </c>
      <c r="N41" s="14">
        <f t="shared" ref="N41:N45" si="14">L41/M41</f>
        <v>4.9000000000000002E-2</v>
      </c>
      <c r="O41" s="6"/>
      <c r="P41" s="12">
        <v>150</v>
      </c>
      <c r="Q41" s="13">
        <f t="shared" ref="Q41:Q45" si="15">P41*N41</f>
        <v>7.3500000000000005</v>
      </c>
      <c r="R41" s="64"/>
      <c r="S41" s="8">
        <v>1</v>
      </c>
      <c r="T41" s="9" t="s">
        <v>156</v>
      </c>
      <c r="U41" s="10">
        <v>129</v>
      </c>
      <c r="V41" s="10">
        <v>440</v>
      </c>
      <c r="W41" s="14">
        <f t="shared" ref="W41:W45" si="16">U41/V41</f>
        <v>0.29318181818181815</v>
      </c>
      <c r="X41" s="6"/>
      <c r="Y41" s="12">
        <v>18</v>
      </c>
      <c r="Z41" s="13">
        <f t="shared" ref="Z41:Z45" si="17">Y41*W41</f>
        <v>5.2772727272727264</v>
      </c>
      <c r="AA41" s="64"/>
    </row>
    <row r="42" spans="1:27" ht="15.6" x14ac:dyDescent="0.3">
      <c r="A42" s="8">
        <v>2</v>
      </c>
      <c r="B42" s="9" t="s">
        <v>28</v>
      </c>
      <c r="C42" s="10">
        <v>100</v>
      </c>
      <c r="D42" s="10">
        <v>50</v>
      </c>
      <c r="E42" s="14">
        <f t="shared" si="12"/>
        <v>2</v>
      </c>
      <c r="F42" s="6"/>
      <c r="G42" s="12">
        <v>1</v>
      </c>
      <c r="H42" s="15">
        <f t="shared" si="13"/>
        <v>2</v>
      </c>
      <c r="I42" s="64"/>
      <c r="J42" s="8">
        <v>2</v>
      </c>
      <c r="K42" s="9" t="s">
        <v>28</v>
      </c>
      <c r="L42" s="10">
        <v>100</v>
      </c>
      <c r="M42" s="10">
        <v>50</v>
      </c>
      <c r="N42" s="14">
        <f t="shared" si="14"/>
        <v>2</v>
      </c>
      <c r="O42" s="6"/>
      <c r="P42" s="12">
        <v>1</v>
      </c>
      <c r="Q42" s="15">
        <f t="shared" si="15"/>
        <v>2</v>
      </c>
      <c r="R42" s="64"/>
      <c r="S42" s="8">
        <v>2</v>
      </c>
      <c r="T42" s="9" t="s">
        <v>28</v>
      </c>
      <c r="U42" s="10">
        <v>100</v>
      </c>
      <c r="V42" s="10">
        <v>50</v>
      </c>
      <c r="W42" s="14">
        <f t="shared" si="16"/>
        <v>2</v>
      </c>
      <c r="X42" s="6"/>
      <c r="Y42" s="12">
        <v>1</v>
      </c>
      <c r="Z42" s="15">
        <f t="shared" si="17"/>
        <v>2</v>
      </c>
      <c r="AA42" s="64"/>
    </row>
    <row r="43" spans="1:27" ht="15.6" x14ac:dyDescent="0.3">
      <c r="A43" s="8">
        <v>3</v>
      </c>
      <c r="B43" s="9" t="s">
        <v>29</v>
      </c>
      <c r="C43" s="10">
        <v>19</v>
      </c>
      <c r="D43" s="10">
        <v>100</v>
      </c>
      <c r="E43" s="14">
        <f t="shared" si="12"/>
        <v>0.19</v>
      </c>
      <c r="F43" s="6"/>
      <c r="G43" s="12">
        <v>1</v>
      </c>
      <c r="H43" s="13">
        <f t="shared" si="13"/>
        <v>0.19</v>
      </c>
      <c r="I43" s="64"/>
      <c r="J43" s="8">
        <v>3</v>
      </c>
      <c r="K43" s="9" t="s">
        <v>29</v>
      </c>
      <c r="L43" s="10">
        <v>19</v>
      </c>
      <c r="M43" s="10">
        <v>100</v>
      </c>
      <c r="N43" s="14">
        <f t="shared" si="14"/>
        <v>0.19</v>
      </c>
      <c r="O43" s="6"/>
      <c r="P43" s="12">
        <v>1</v>
      </c>
      <c r="Q43" s="13">
        <f t="shared" si="15"/>
        <v>0.19</v>
      </c>
      <c r="R43" s="64"/>
      <c r="S43" s="8">
        <v>3</v>
      </c>
      <c r="T43" s="9" t="s">
        <v>29</v>
      </c>
      <c r="U43" s="10">
        <v>19</v>
      </c>
      <c r="V43" s="10">
        <v>100</v>
      </c>
      <c r="W43" s="14">
        <f t="shared" si="16"/>
        <v>0.19</v>
      </c>
      <c r="X43" s="6"/>
      <c r="Y43" s="12">
        <v>1</v>
      </c>
      <c r="Z43" s="13">
        <f t="shared" si="17"/>
        <v>0.19</v>
      </c>
      <c r="AA43" s="64"/>
    </row>
    <row r="44" spans="1:27" ht="15.6" x14ac:dyDescent="0.3">
      <c r="A44" s="8">
        <v>4</v>
      </c>
      <c r="B44" s="9" t="s">
        <v>150</v>
      </c>
      <c r="C44" s="10">
        <v>45</v>
      </c>
      <c r="D44" s="10">
        <v>800</v>
      </c>
      <c r="E44" s="14">
        <f t="shared" si="12"/>
        <v>5.6250000000000001E-2</v>
      </c>
      <c r="F44" s="6"/>
      <c r="G44" s="12">
        <v>40</v>
      </c>
      <c r="H44" s="13">
        <f t="shared" si="13"/>
        <v>2.25</v>
      </c>
      <c r="I44" s="64"/>
      <c r="J44" s="8">
        <v>4</v>
      </c>
      <c r="K44" s="9" t="s">
        <v>144</v>
      </c>
      <c r="L44" s="10">
        <v>53</v>
      </c>
      <c r="M44" s="10">
        <v>1000</v>
      </c>
      <c r="N44" s="14">
        <f t="shared" si="14"/>
        <v>5.2999999999999999E-2</v>
      </c>
      <c r="O44" s="6"/>
      <c r="P44" s="12">
        <v>30</v>
      </c>
      <c r="Q44" s="13">
        <f t="shared" si="15"/>
        <v>1.5899999999999999</v>
      </c>
      <c r="R44" s="64"/>
      <c r="S44" s="8">
        <v>4</v>
      </c>
      <c r="T44" s="9" t="s">
        <v>34</v>
      </c>
      <c r="U44" s="10">
        <v>4.5999999999999996</v>
      </c>
      <c r="V44" s="10">
        <v>1500</v>
      </c>
      <c r="W44" s="14">
        <f t="shared" si="16"/>
        <v>3.0666666666666663E-3</v>
      </c>
      <c r="X44" s="6"/>
      <c r="Y44" s="12">
        <v>160</v>
      </c>
      <c r="Z44" s="13">
        <f t="shared" si="17"/>
        <v>0.49066666666666658</v>
      </c>
      <c r="AA44" s="64"/>
    </row>
    <row r="45" spans="1:27" ht="15.6" x14ac:dyDescent="0.3">
      <c r="A45" s="8">
        <v>5</v>
      </c>
      <c r="B45" s="9" t="s">
        <v>153</v>
      </c>
      <c r="C45" s="10">
        <v>27</v>
      </c>
      <c r="D45" s="10">
        <v>250</v>
      </c>
      <c r="E45" s="14">
        <f t="shared" si="12"/>
        <v>0.108</v>
      </c>
      <c r="F45" s="6"/>
      <c r="G45" s="12">
        <v>10</v>
      </c>
      <c r="H45" s="13">
        <f t="shared" si="13"/>
        <v>1.08</v>
      </c>
      <c r="I45" s="64"/>
      <c r="J45" s="8">
        <v>5</v>
      </c>
      <c r="K45" s="9" t="s">
        <v>145</v>
      </c>
      <c r="L45" s="10">
        <v>118</v>
      </c>
      <c r="M45" s="10">
        <v>2000</v>
      </c>
      <c r="N45" s="14">
        <f t="shared" si="14"/>
        <v>5.8999999999999997E-2</v>
      </c>
      <c r="O45" s="6"/>
      <c r="P45" s="12">
        <v>20</v>
      </c>
      <c r="Q45" s="13">
        <f t="shared" si="15"/>
        <v>1.18</v>
      </c>
      <c r="R45" s="64"/>
      <c r="S45" s="8">
        <v>5</v>
      </c>
      <c r="T45" s="9" t="s">
        <v>149</v>
      </c>
      <c r="U45" s="10">
        <v>219</v>
      </c>
      <c r="V45" s="10">
        <v>1000</v>
      </c>
      <c r="W45" s="14">
        <f t="shared" si="16"/>
        <v>0.219</v>
      </c>
      <c r="X45" s="6"/>
      <c r="Y45" s="12">
        <v>25</v>
      </c>
      <c r="Z45" s="13">
        <f t="shared" si="17"/>
        <v>5.4749999999999996</v>
      </c>
      <c r="AA45" s="64"/>
    </row>
    <row r="46" spans="1:27" ht="15.6" x14ac:dyDescent="0.3">
      <c r="A46" s="8">
        <v>6</v>
      </c>
      <c r="B46" s="9"/>
      <c r="C46" s="10">
        <v>4.5999999999999996</v>
      </c>
      <c r="D46" s="10">
        <v>1500</v>
      </c>
      <c r="E46" s="14">
        <f t="shared" si="12"/>
        <v>3.0666666666666663E-3</v>
      </c>
      <c r="F46" s="6"/>
      <c r="G46" s="12">
        <v>50</v>
      </c>
      <c r="H46" s="13">
        <f t="shared" si="13"/>
        <v>0.15333333333333332</v>
      </c>
      <c r="I46" s="64"/>
      <c r="J46" s="8">
        <v>6</v>
      </c>
      <c r="K46" s="9"/>
      <c r="L46" s="10"/>
      <c r="M46" s="10"/>
      <c r="N46" s="14"/>
      <c r="O46" s="6"/>
      <c r="P46" s="12"/>
      <c r="Q46" s="13"/>
      <c r="R46" s="64"/>
      <c r="S46" s="8">
        <v>6</v>
      </c>
      <c r="T46" s="9"/>
      <c r="U46" s="10"/>
      <c r="V46" s="10"/>
      <c r="W46" s="14"/>
      <c r="X46" s="6"/>
      <c r="Y46" s="12"/>
      <c r="Z46" s="13"/>
      <c r="AA46" s="64"/>
    </row>
    <row r="47" spans="1:27" ht="15.6" x14ac:dyDescent="0.3">
      <c r="A47" s="8">
        <v>7</v>
      </c>
      <c r="B47" s="9"/>
      <c r="C47" s="10"/>
      <c r="D47" s="10"/>
      <c r="E47" s="14"/>
      <c r="F47" s="6"/>
      <c r="G47" s="12"/>
      <c r="H47" s="13"/>
      <c r="I47" s="64"/>
      <c r="J47" s="8">
        <v>7</v>
      </c>
      <c r="K47" s="9"/>
      <c r="L47" s="10"/>
      <c r="M47" s="10"/>
      <c r="N47" s="14"/>
      <c r="O47" s="6"/>
      <c r="P47" s="12"/>
      <c r="Q47" s="13"/>
      <c r="R47" s="64"/>
      <c r="S47" s="8">
        <v>7</v>
      </c>
      <c r="T47" s="9"/>
      <c r="U47" s="10"/>
      <c r="V47" s="10"/>
      <c r="W47" s="14"/>
      <c r="X47" s="6"/>
      <c r="Y47" s="12"/>
      <c r="Z47" s="13"/>
      <c r="AA47" s="64"/>
    </row>
    <row r="48" spans="1:27" ht="15.6" x14ac:dyDescent="0.3">
      <c r="A48" s="8">
        <v>8</v>
      </c>
      <c r="B48" s="9"/>
      <c r="C48" s="10"/>
      <c r="D48" s="10"/>
      <c r="E48" s="14"/>
      <c r="F48" s="6"/>
      <c r="G48" s="12"/>
      <c r="H48" s="13"/>
      <c r="I48" s="64"/>
      <c r="J48" s="8">
        <v>8</v>
      </c>
      <c r="K48" s="9"/>
      <c r="L48" s="10"/>
      <c r="M48" s="10"/>
      <c r="N48" s="14"/>
      <c r="O48" s="6"/>
      <c r="P48" s="12"/>
      <c r="Q48" s="13"/>
      <c r="R48" s="64"/>
      <c r="S48" s="8">
        <v>8</v>
      </c>
      <c r="T48" s="9"/>
      <c r="U48" s="10"/>
      <c r="V48" s="10"/>
      <c r="W48" s="14"/>
      <c r="X48" s="6"/>
      <c r="Y48" s="12"/>
      <c r="Z48" s="13"/>
      <c r="AA48" s="64"/>
    </row>
    <row r="49" spans="1:27" ht="15.6" x14ac:dyDescent="0.3">
      <c r="A49" s="8">
        <v>9</v>
      </c>
      <c r="B49" s="9"/>
      <c r="C49" s="10"/>
      <c r="D49" s="10"/>
      <c r="E49" s="14"/>
      <c r="F49" s="6"/>
      <c r="G49" s="12"/>
      <c r="H49" s="13"/>
      <c r="I49" s="64"/>
      <c r="J49" s="8">
        <v>9</v>
      </c>
      <c r="K49" s="9"/>
      <c r="L49" s="10"/>
      <c r="M49" s="10"/>
      <c r="N49" s="14"/>
      <c r="O49" s="6"/>
      <c r="P49" s="12"/>
      <c r="Q49" s="13"/>
      <c r="R49" s="64"/>
      <c r="S49" s="8">
        <v>9</v>
      </c>
      <c r="T49" s="9"/>
      <c r="U49" s="10"/>
      <c r="V49" s="10"/>
      <c r="W49" s="14"/>
      <c r="X49" s="6"/>
      <c r="Y49" s="12"/>
      <c r="Z49" s="13"/>
      <c r="AA49" s="64"/>
    </row>
    <row r="50" spans="1:27" ht="16.2" thickBot="1" x14ac:dyDescent="0.35">
      <c r="A50" s="16">
        <v>10</v>
      </c>
      <c r="B50" s="17"/>
      <c r="C50" s="18"/>
      <c r="D50" s="18"/>
      <c r="E50" s="19"/>
      <c r="F50" s="6"/>
      <c r="G50" s="12"/>
      <c r="H50" s="13"/>
      <c r="I50" s="64"/>
      <c r="J50" s="16">
        <v>10</v>
      </c>
      <c r="K50" s="17"/>
      <c r="L50" s="18"/>
      <c r="M50" s="18"/>
      <c r="N50" s="19"/>
      <c r="O50" s="6"/>
      <c r="P50" s="12"/>
      <c r="Q50" s="13"/>
      <c r="R50" s="64"/>
      <c r="S50" s="16">
        <v>10</v>
      </c>
      <c r="T50" s="17"/>
      <c r="U50" s="18"/>
      <c r="V50" s="18"/>
      <c r="W50" s="19"/>
      <c r="X50" s="6"/>
      <c r="Y50" s="12"/>
      <c r="Z50" s="13"/>
      <c r="AA50" s="64"/>
    </row>
    <row r="51" spans="1:27" ht="16.2" thickBot="1" x14ac:dyDescent="0.35">
      <c r="A51" s="65"/>
      <c r="B51" s="6"/>
      <c r="C51" s="6"/>
      <c r="D51" s="6"/>
      <c r="E51" s="6"/>
      <c r="F51" s="6"/>
      <c r="G51" s="20" t="s">
        <v>18</v>
      </c>
      <c r="H51" s="70">
        <f>SUM(H41:H50)</f>
        <v>19.006666666666664</v>
      </c>
      <c r="I51" s="64"/>
      <c r="J51" s="65"/>
      <c r="K51" s="6"/>
      <c r="L51" s="6"/>
      <c r="M51" s="6"/>
      <c r="N51" s="6"/>
      <c r="O51" s="6"/>
      <c r="P51" s="20" t="s">
        <v>18</v>
      </c>
      <c r="Q51" s="70">
        <f>SUM(Q41:Q50)</f>
        <v>12.31</v>
      </c>
      <c r="R51" s="64"/>
      <c r="S51" s="65"/>
      <c r="T51" s="6"/>
      <c r="U51" s="6"/>
      <c r="V51" s="6"/>
      <c r="W51" s="6"/>
      <c r="X51" s="6"/>
      <c r="Y51" s="20" t="s">
        <v>18</v>
      </c>
      <c r="Z51" s="70">
        <f>SUM(Z41:Z50)</f>
        <v>13.432939393939392</v>
      </c>
      <c r="AA51" s="64"/>
    </row>
    <row r="52" spans="1:27" ht="16.2" thickBot="1" x14ac:dyDescent="0.35">
      <c r="A52" s="65"/>
      <c r="B52" s="6"/>
      <c r="C52" s="6"/>
      <c r="D52" s="6"/>
      <c r="E52" s="6"/>
      <c r="F52" s="6"/>
      <c r="G52" s="6"/>
      <c r="H52" s="6"/>
      <c r="I52" s="64"/>
      <c r="J52" s="65"/>
      <c r="K52" s="6"/>
      <c r="L52" s="6"/>
      <c r="M52" s="6"/>
      <c r="N52" s="6"/>
      <c r="O52" s="6"/>
      <c r="P52" s="6"/>
      <c r="Q52" s="6"/>
      <c r="R52" s="64"/>
      <c r="S52" s="65"/>
      <c r="T52" s="6"/>
      <c r="U52" s="6"/>
      <c r="V52" s="6"/>
      <c r="W52" s="6"/>
      <c r="X52" s="6"/>
      <c r="Y52" s="6"/>
      <c r="Z52" s="6"/>
      <c r="AA52" s="64"/>
    </row>
    <row r="53" spans="1:27" ht="15.6" x14ac:dyDescent="0.3">
      <c r="A53" s="110" t="s">
        <v>19</v>
      </c>
      <c r="B53" s="111"/>
      <c r="C53" s="111"/>
      <c r="D53" s="111"/>
      <c r="E53" s="111"/>
      <c r="F53" s="111"/>
      <c r="G53" s="111"/>
      <c r="H53" s="112"/>
      <c r="I53" s="64"/>
      <c r="J53" s="110" t="s">
        <v>19</v>
      </c>
      <c r="K53" s="111"/>
      <c r="L53" s="111"/>
      <c r="M53" s="111"/>
      <c r="N53" s="111"/>
      <c r="O53" s="111"/>
      <c r="P53" s="111"/>
      <c r="Q53" s="112"/>
      <c r="R53" s="64"/>
      <c r="S53" s="110" t="s">
        <v>19</v>
      </c>
      <c r="T53" s="111"/>
      <c r="U53" s="111"/>
      <c r="V53" s="111"/>
      <c r="W53" s="111"/>
      <c r="X53" s="111"/>
      <c r="Y53" s="111"/>
      <c r="Z53" s="112"/>
      <c r="AA53" s="64"/>
    </row>
    <row r="54" spans="1:27" ht="15.6" x14ac:dyDescent="0.3">
      <c r="A54" s="113" t="s">
        <v>20</v>
      </c>
      <c r="B54" s="114"/>
      <c r="C54" s="115"/>
      <c r="D54" s="116">
        <f>H51</f>
        <v>19.006666666666664</v>
      </c>
      <c r="E54" s="116"/>
      <c r="F54" s="117" t="s">
        <v>21</v>
      </c>
      <c r="G54" s="118"/>
      <c r="H54" s="71">
        <f>D54*30%+D54</f>
        <v>24.708666666666662</v>
      </c>
      <c r="I54" s="64"/>
      <c r="J54" s="113" t="s">
        <v>20</v>
      </c>
      <c r="K54" s="114"/>
      <c r="L54" s="115"/>
      <c r="M54" s="116">
        <f>Q51</f>
        <v>12.31</v>
      </c>
      <c r="N54" s="116"/>
      <c r="O54" s="117" t="s">
        <v>21</v>
      </c>
      <c r="P54" s="118"/>
      <c r="Q54" s="71">
        <f>M54*30%+M54</f>
        <v>16.003</v>
      </c>
      <c r="R54" s="64"/>
      <c r="S54" s="113" t="s">
        <v>20</v>
      </c>
      <c r="T54" s="114"/>
      <c r="U54" s="115"/>
      <c r="V54" s="116">
        <f>Z51</f>
        <v>13.432939393939392</v>
      </c>
      <c r="W54" s="116"/>
      <c r="X54" s="117" t="s">
        <v>21</v>
      </c>
      <c r="Y54" s="118"/>
      <c r="Z54" s="71">
        <f>V54*30%+V54</f>
        <v>17.462821212121209</v>
      </c>
      <c r="AA54" s="64"/>
    </row>
    <row r="55" spans="1:27" ht="16.2" thickBot="1" x14ac:dyDescent="0.35">
      <c r="A55" s="119" t="s">
        <v>22</v>
      </c>
      <c r="B55" s="120"/>
      <c r="C55" s="121"/>
      <c r="D55" s="122">
        <f>H54</f>
        <v>24.708666666666662</v>
      </c>
      <c r="E55" s="122"/>
      <c r="F55" s="123">
        <v>1.6</v>
      </c>
      <c r="G55" s="124"/>
      <c r="H55" s="25">
        <f>D55*F55</f>
        <v>39.533866666666661</v>
      </c>
      <c r="I55" s="66"/>
      <c r="J55" s="119" t="s">
        <v>22</v>
      </c>
      <c r="K55" s="120"/>
      <c r="L55" s="121"/>
      <c r="M55" s="122">
        <f>Q54</f>
        <v>16.003</v>
      </c>
      <c r="N55" s="122"/>
      <c r="O55" s="123">
        <v>1.6</v>
      </c>
      <c r="P55" s="124"/>
      <c r="Q55" s="25">
        <f>M55*O55</f>
        <v>25.604800000000001</v>
      </c>
      <c r="R55" s="66"/>
      <c r="S55" s="119" t="s">
        <v>22</v>
      </c>
      <c r="T55" s="120"/>
      <c r="U55" s="121"/>
      <c r="V55" s="122">
        <f>Z54</f>
        <v>17.462821212121209</v>
      </c>
      <c r="W55" s="122"/>
      <c r="X55" s="123">
        <v>1.6</v>
      </c>
      <c r="Y55" s="124"/>
      <c r="Z55" s="25">
        <f>V55*X55</f>
        <v>27.940513939393938</v>
      </c>
      <c r="AA55" s="66"/>
    </row>
    <row r="57" spans="1:27" ht="15" thickBot="1" x14ac:dyDescent="0.35"/>
    <row r="58" spans="1:27" ht="15.6" x14ac:dyDescent="0.3">
      <c r="A58" s="125" t="s">
        <v>9</v>
      </c>
      <c r="B58" s="127" t="s">
        <v>10</v>
      </c>
      <c r="C58" s="127" t="s">
        <v>11</v>
      </c>
      <c r="D58" s="5" t="s">
        <v>12</v>
      </c>
      <c r="E58" s="129" t="s">
        <v>13</v>
      </c>
      <c r="F58" s="63"/>
      <c r="G58" s="131" t="s">
        <v>14</v>
      </c>
      <c r="H58" s="133" t="s">
        <v>15</v>
      </c>
      <c r="I58" s="108" t="s">
        <v>164</v>
      </c>
      <c r="J58" s="125" t="s">
        <v>9</v>
      </c>
      <c r="K58" s="127" t="s">
        <v>10</v>
      </c>
      <c r="L58" s="127" t="s">
        <v>11</v>
      </c>
      <c r="M58" s="5" t="s">
        <v>12</v>
      </c>
      <c r="N58" s="129" t="s">
        <v>13</v>
      </c>
      <c r="O58" s="63"/>
      <c r="P58" s="131" t="s">
        <v>14</v>
      </c>
      <c r="Q58" s="133" t="s">
        <v>15</v>
      </c>
      <c r="R58" s="108" t="s">
        <v>166</v>
      </c>
    </row>
    <row r="59" spans="1:27" ht="15.6" x14ac:dyDescent="0.3">
      <c r="A59" s="126"/>
      <c r="B59" s="128"/>
      <c r="C59" s="128"/>
      <c r="D59" s="7" t="s">
        <v>16</v>
      </c>
      <c r="E59" s="130"/>
      <c r="F59" s="6"/>
      <c r="G59" s="132"/>
      <c r="H59" s="134"/>
      <c r="I59" s="109"/>
      <c r="J59" s="126"/>
      <c r="K59" s="128"/>
      <c r="L59" s="128"/>
      <c r="M59" s="7" t="s">
        <v>16</v>
      </c>
      <c r="N59" s="130"/>
      <c r="O59" s="6"/>
      <c r="P59" s="132"/>
      <c r="Q59" s="134"/>
      <c r="R59" s="109"/>
    </row>
    <row r="60" spans="1:27" ht="15.6" x14ac:dyDescent="0.3">
      <c r="A60" s="8">
        <v>1</v>
      </c>
      <c r="B60" s="9" t="s">
        <v>162</v>
      </c>
      <c r="C60" s="10">
        <v>120</v>
      </c>
      <c r="D60" s="10">
        <v>900</v>
      </c>
      <c r="E60" s="14">
        <f t="shared" ref="E60:E65" si="18">C60/D60</f>
        <v>0.13333333333333333</v>
      </c>
      <c r="F60" s="6"/>
      <c r="G60" s="12">
        <v>100</v>
      </c>
      <c r="H60" s="13">
        <f t="shared" ref="H60:H65" si="19">G60*E60</f>
        <v>13.333333333333334</v>
      </c>
      <c r="I60" s="64"/>
      <c r="J60" s="8">
        <v>1</v>
      </c>
      <c r="K60" s="9" t="s">
        <v>61</v>
      </c>
      <c r="L60" s="10">
        <v>98</v>
      </c>
      <c r="M60" s="10">
        <v>2000</v>
      </c>
      <c r="N60" s="14">
        <f t="shared" ref="N60:N65" si="20">L60/M60</f>
        <v>4.9000000000000002E-2</v>
      </c>
      <c r="O60" s="6"/>
      <c r="P60" s="12">
        <v>150</v>
      </c>
      <c r="Q60" s="13">
        <f t="shared" ref="Q60:Q65" si="21">P60*N60</f>
        <v>7.3500000000000005</v>
      </c>
      <c r="R60" s="64"/>
    </row>
    <row r="61" spans="1:27" ht="15.6" x14ac:dyDescent="0.3">
      <c r="A61" s="8">
        <v>2</v>
      </c>
      <c r="B61" s="9" t="s">
        <v>28</v>
      </c>
      <c r="C61" s="10">
        <v>100</v>
      </c>
      <c r="D61" s="10">
        <v>50</v>
      </c>
      <c r="E61" s="14">
        <f t="shared" si="18"/>
        <v>2</v>
      </c>
      <c r="F61" s="6"/>
      <c r="G61" s="12">
        <v>1</v>
      </c>
      <c r="H61" s="15">
        <f t="shared" si="19"/>
        <v>2</v>
      </c>
      <c r="I61" s="64"/>
      <c r="J61" s="8">
        <v>2</v>
      </c>
      <c r="K61" s="9" t="s">
        <v>28</v>
      </c>
      <c r="L61" s="10">
        <v>100</v>
      </c>
      <c r="M61" s="10">
        <v>50</v>
      </c>
      <c r="N61" s="14">
        <f t="shared" si="20"/>
        <v>2</v>
      </c>
      <c r="O61" s="6"/>
      <c r="P61" s="12">
        <v>1</v>
      </c>
      <c r="Q61" s="15">
        <f t="shared" si="21"/>
        <v>2</v>
      </c>
      <c r="R61" s="64"/>
    </row>
    <row r="62" spans="1:27" ht="15.6" x14ac:dyDescent="0.3">
      <c r="A62" s="8">
        <v>3</v>
      </c>
      <c r="B62" s="9" t="s">
        <v>29</v>
      </c>
      <c r="C62" s="10">
        <v>19</v>
      </c>
      <c r="D62" s="10">
        <v>100</v>
      </c>
      <c r="E62" s="14">
        <f t="shared" si="18"/>
        <v>0.19</v>
      </c>
      <c r="F62" s="6"/>
      <c r="G62" s="12">
        <v>1</v>
      </c>
      <c r="H62" s="13">
        <f t="shared" si="19"/>
        <v>0.19</v>
      </c>
      <c r="I62" s="64"/>
      <c r="J62" s="8">
        <v>3</v>
      </c>
      <c r="K62" s="9" t="s">
        <v>29</v>
      </c>
      <c r="L62" s="10">
        <v>19</v>
      </c>
      <c r="M62" s="10">
        <v>100</v>
      </c>
      <c r="N62" s="14">
        <f t="shared" si="20"/>
        <v>0.19</v>
      </c>
      <c r="O62" s="6"/>
      <c r="P62" s="12">
        <v>1</v>
      </c>
      <c r="Q62" s="13">
        <f t="shared" si="21"/>
        <v>0.19</v>
      </c>
      <c r="R62" s="64"/>
    </row>
    <row r="63" spans="1:27" ht="15.6" x14ac:dyDescent="0.3">
      <c r="A63" s="8">
        <v>4</v>
      </c>
      <c r="B63" s="9" t="s">
        <v>147</v>
      </c>
      <c r="C63" s="10">
        <v>150</v>
      </c>
      <c r="D63" s="10">
        <v>1000</v>
      </c>
      <c r="E63" s="14">
        <f t="shared" si="18"/>
        <v>0.15</v>
      </c>
      <c r="F63" s="6"/>
      <c r="G63" s="12">
        <v>20</v>
      </c>
      <c r="H63" s="13">
        <f t="shared" si="19"/>
        <v>3</v>
      </c>
      <c r="I63" s="64"/>
      <c r="J63" s="8">
        <v>4</v>
      </c>
      <c r="K63" s="9" t="s">
        <v>144</v>
      </c>
      <c r="L63" s="10">
        <v>53</v>
      </c>
      <c r="M63" s="10">
        <v>1000</v>
      </c>
      <c r="N63" s="14">
        <f t="shared" si="20"/>
        <v>5.2999999999999999E-2</v>
      </c>
      <c r="O63" s="6"/>
      <c r="P63" s="12">
        <v>30</v>
      </c>
      <c r="Q63" s="13">
        <f t="shared" si="21"/>
        <v>1.5899999999999999</v>
      </c>
      <c r="R63" s="64"/>
    </row>
    <row r="64" spans="1:27" ht="15.6" x14ac:dyDescent="0.3">
      <c r="A64" s="8">
        <v>5</v>
      </c>
      <c r="B64" s="9" t="s">
        <v>153</v>
      </c>
      <c r="C64" s="10">
        <v>27</v>
      </c>
      <c r="D64" s="10">
        <v>250</v>
      </c>
      <c r="E64" s="14">
        <f t="shared" si="18"/>
        <v>0.108</v>
      </c>
      <c r="F64" s="6"/>
      <c r="G64" s="12">
        <v>10</v>
      </c>
      <c r="H64" s="13">
        <f t="shared" si="19"/>
        <v>1.08</v>
      </c>
      <c r="I64" s="64"/>
      <c r="J64" s="8">
        <v>5</v>
      </c>
      <c r="K64" s="9" t="s">
        <v>145</v>
      </c>
      <c r="L64" s="10">
        <v>118</v>
      </c>
      <c r="M64" s="10">
        <v>2000</v>
      </c>
      <c r="N64" s="14">
        <f t="shared" si="20"/>
        <v>5.8999999999999997E-2</v>
      </c>
      <c r="O64" s="6"/>
      <c r="P64" s="12">
        <v>10</v>
      </c>
      <c r="Q64" s="13">
        <f t="shared" si="21"/>
        <v>0.59</v>
      </c>
      <c r="R64" s="64"/>
    </row>
    <row r="65" spans="1:18" ht="15.6" x14ac:dyDescent="0.3">
      <c r="A65" s="8">
        <v>6</v>
      </c>
      <c r="B65" s="9" t="s">
        <v>34</v>
      </c>
      <c r="C65" s="10">
        <v>4.5999999999999996</v>
      </c>
      <c r="D65" s="10">
        <v>1500</v>
      </c>
      <c r="E65" s="14">
        <f t="shared" si="18"/>
        <v>3.0666666666666663E-3</v>
      </c>
      <c r="F65" s="6"/>
      <c r="G65" s="12">
        <v>30</v>
      </c>
      <c r="H65" s="13">
        <f t="shared" si="19"/>
        <v>9.1999999999999985E-2</v>
      </c>
      <c r="I65" s="64"/>
      <c r="J65" s="8">
        <v>6</v>
      </c>
      <c r="K65" s="9" t="s">
        <v>154</v>
      </c>
      <c r="L65" s="10">
        <v>390</v>
      </c>
      <c r="M65" s="10">
        <v>700</v>
      </c>
      <c r="N65" s="14">
        <f t="shared" si="20"/>
        <v>0.55714285714285716</v>
      </c>
      <c r="O65" s="6"/>
      <c r="P65" s="12">
        <v>20</v>
      </c>
      <c r="Q65" s="13">
        <f t="shared" si="21"/>
        <v>11.142857142857142</v>
      </c>
      <c r="R65" s="64"/>
    </row>
    <row r="66" spans="1:18" ht="15.6" x14ac:dyDescent="0.3">
      <c r="A66" s="8">
        <v>7</v>
      </c>
      <c r="B66" s="9"/>
      <c r="C66" s="10"/>
      <c r="D66" s="10"/>
      <c r="E66" s="14"/>
      <c r="F66" s="6"/>
      <c r="G66" s="12"/>
      <c r="H66" s="13"/>
      <c r="I66" s="64"/>
      <c r="J66" s="8">
        <v>7</v>
      </c>
      <c r="K66" s="9"/>
      <c r="L66" s="10"/>
      <c r="M66" s="10"/>
      <c r="N66" s="14"/>
      <c r="O66" s="6"/>
      <c r="P66" s="12"/>
      <c r="Q66" s="13"/>
      <c r="R66" s="64"/>
    </row>
    <row r="67" spans="1:18" ht="15.6" x14ac:dyDescent="0.3">
      <c r="A67" s="8">
        <v>8</v>
      </c>
      <c r="B67" s="9"/>
      <c r="C67" s="10"/>
      <c r="D67" s="10"/>
      <c r="E67" s="14"/>
      <c r="F67" s="6"/>
      <c r="G67" s="12"/>
      <c r="H67" s="13"/>
      <c r="I67" s="64"/>
      <c r="J67" s="8">
        <v>8</v>
      </c>
      <c r="K67" s="9"/>
      <c r="L67" s="10"/>
      <c r="M67" s="10"/>
      <c r="N67" s="14"/>
      <c r="O67" s="6"/>
      <c r="P67" s="12"/>
      <c r="Q67" s="13"/>
      <c r="R67" s="64"/>
    </row>
    <row r="68" spans="1:18" ht="15.6" x14ac:dyDescent="0.3">
      <c r="A68" s="8">
        <v>9</v>
      </c>
      <c r="B68" s="9"/>
      <c r="C68" s="10"/>
      <c r="D68" s="10"/>
      <c r="E68" s="14"/>
      <c r="F68" s="6"/>
      <c r="G68" s="12"/>
      <c r="H68" s="13"/>
      <c r="I68" s="64"/>
      <c r="J68" s="8">
        <v>9</v>
      </c>
      <c r="K68" s="9"/>
      <c r="L68" s="10"/>
      <c r="M68" s="10"/>
      <c r="N68" s="14"/>
      <c r="O68" s="6"/>
      <c r="P68" s="12"/>
      <c r="Q68" s="13"/>
      <c r="R68" s="64"/>
    </row>
    <row r="69" spans="1:18" ht="16.2" thickBot="1" x14ac:dyDescent="0.35">
      <c r="A69" s="16">
        <v>10</v>
      </c>
      <c r="B69" s="17"/>
      <c r="C69" s="18"/>
      <c r="D69" s="18"/>
      <c r="E69" s="19"/>
      <c r="F69" s="6"/>
      <c r="G69" s="12"/>
      <c r="H69" s="13"/>
      <c r="I69" s="64"/>
      <c r="J69" s="16">
        <v>10</v>
      </c>
      <c r="K69" s="17"/>
      <c r="L69" s="18"/>
      <c r="M69" s="18"/>
      <c r="N69" s="19"/>
      <c r="O69" s="6"/>
      <c r="P69" s="12"/>
      <c r="Q69" s="13"/>
      <c r="R69" s="64"/>
    </row>
    <row r="70" spans="1:18" ht="16.2" thickBot="1" x14ac:dyDescent="0.35">
      <c r="A70" s="65"/>
      <c r="B70" s="6"/>
      <c r="C70" s="6"/>
      <c r="D70" s="6"/>
      <c r="E70" s="6"/>
      <c r="F70" s="6"/>
      <c r="G70" s="20" t="s">
        <v>18</v>
      </c>
      <c r="H70" s="70">
        <f>SUM(H60:H69)</f>
        <v>19.69533333333333</v>
      </c>
      <c r="I70" s="64"/>
      <c r="J70" s="65"/>
      <c r="K70" s="6"/>
      <c r="L70" s="6"/>
      <c r="M70" s="6"/>
      <c r="N70" s="6"/>
      <c r="O70" s="6"/>
      <c r="P70" s="20" t="s">
        <v>18</v>
      </c>
      <c r="Q70" s="70">
        <f>SUM(Q60:Q69)</f>
        <v>22.862857142857145</v>
      </c>
      <c r="R70" s="64"/>
    </row>
    <row r="71" spans="1:18" ht="16.2" thickBot="1" x14ac:dyDescent="0.35">
      <c r="A71" s="65"/>
      <c r="B71" s="6"/>
      <c r="C71" s="6"/>
      <c r="D71" s="6"/>
      <c r="E71" s="6"/>
      <c r="F71" s="6"/>
      <c r="G71" s="6"/>
      <c r="H71" s="6"/>
      <c r="I71" s="64"/>
      <c r="J71" s="65"/>
      <c r="K71" s="6"/>
      <c r="L71" s="6"/>
      <c r="M71" s="6"/>
      <c r="N71" s="6"/>
      <c r="O71" s="6"/>
      <c r="P71" s="6"/>
      <c r="Q71" s="6"/>
      <c r="R71" s="64"/>
    </row>
    <row r="72" spans="1:18" ht="15.6" x14ac:dyDescent="0.3">
      <c r="A72" s="110" t="s">
        <v>19</v>
      </c>
      <c r="B72" s="111"/>
      <c r="C72" s="111"/>
      <c r="D72" s="111"/>
      <c r="E72" s="111"/>
      <c r="F72" s="111"/>
      <c r="G72" s="111"/>
      <c r="H72" s="112"/>
      <c r="I72" s="64"/>
      <c r="J72" s="110" t="s">
        <v>19</v>
      </c>
      <c r="K72" s="111"/>
      <c r="L72" s="111"/>
      <c r="M72" s="111"/>
      <c r="N72" s="111"/>
      <c r="O72" s="111"/>
      <c r="P72" s="111"/>
      <c r="Q72" s="112"/>
      <c r="R72" s="64"/>
    </row>
    <row r="73" spans="1:18" ht="15.6" x14ac:dyDescent="0.3">
      <c r="A73" s="113" t="s">
        <v>20</v>
      </c>
      <c r="B73" s="114"/>
      <c r="C73" s="115"/>
      <c r="D73" s="116">
        <f>H70</f>
        <v>19.69533333333333</v>
      </c>
      <c r="E73" s="116"/>
      <c r="F73" s="117" t="s">
        <v>21</v>
      </c>
      <c r="G73" s="118"/>
      <c r="H73" s="71">
        <f>D73*30%+D73</f>
        <v>25.60393333333333</v>
      </c>
      <c r="I73" s="64"/>
      <c r="J73" s="113" t="s">
        <v>20</v>
      </c>
      <c r="K73" s="114"/>
      <c r="L73" s="115"/>
      <c r="M73" s="116">
        <f>Q70</f>
        <v>22.862857142857145</v>
      </c>
      <c r="N73" s="116"/>
      <c r="O73" s="117" t="s">
        <v>21</v>
      </c>
      <c r="P73" s="118"/>
      <c r="Q73" s="71">
        <f>M73*30%+M73</f>
        <v>29.721714285714288</v>
      </c>
      <c r="R73" s="64"/>
    </row>
    <row r="74" spans="1:18" ht="16.2" thickBot="1" x14ac:dyDescent="0.35">
      <c r="A74" s="119" t="s">
        <v>22</v>
      </c>
      <c r="B74" s="120"/>
      <c r="C74" s="121"/>
      <c r="D74" s="122">
        <f>H73</f>
        <v>25.60393333333333</v>
      </c>
      <c r="E74" s="122"/>
      <c r="F74" s="123">
        <v>1.6</v>
      </c>
      <c r="G74" s="124"/>
      <c r="H74" s="25">
        <f>D74*F74</f>
        <v>40.966293333333333</v>
      </c>
      <c r="I74" s="66"/>
      <c r="J74" s="119" t="s">
        <v>22</v>
      </c>
      <c r="K74" s="120"/>
      <c r="L74" s="121"/>
      <c r="M74" s="122">
        <f>Q73</f>
        <v>29.721714285714288</v>
      </c>
      <c r="N74" s="122"/>
      <c r="O74" s="123">
        <v>1.6</v>
      </c>
      <c r="P74" s="124"/>
      <c r="Q74" s="25">
        <f>M74*O74</f>
        <v>47.554742857142863</v>
      </c>
      <c r="R74" s="66"/>
    </row>
    <row r="76" spans="1:18" ht="15" thickBot="1" x14ac:dyDescent="0.35"/>
    <row r="77" spans="1:18" ht="15.6" x14ac:dyDescent="0.3">
      <c r="A77" s="125" t="s">
        <v>9</v>
      </c>
      <c r="B77" s="127" t="s">
        <v>10</v>
      </c>
      <c r="C77" s="127" t="s">
        <v>11</v>
      </c>
      <c r="D77" s="5" t="s">
        <v>12</v>
      </c>
      <c r="E77" s="129" t="s">
        <v>13</v>
      </c>
      <c r="F77" s="63"/>
      <c r="G77" s="131" t="s">
        <v>14</v>
      </c>
      <c r="H77" s="133" t="s">
        <v>15</v>
      </c>
      <c r="I77" s="108" t="s">
        <v>183</v>
      </c>
      <c r="J77" s="125" t="s">
        <v>9</v>
      </c>
      <c r="K77" s="127" t="s">
        <v>10</v>
      </c>
      <c r="L77" s="127" t="s">
        <v>11</v>
      </c>
      <c r="M77" s="5" t="s">
        <v>12</v>
      </c>
      <c r="N77" s="129" t="s">
        <v>13</v>
      </c>
      <c r="O77" s="63"/>
      <c r="P77" s="131" t="s">
        <v>14</v>
      </c>
      <c r="Q77" s="133" t="s">
        <v>15</v>
      </c>
      <c r="R77" s="108" t="s">
        <v>187</v>
      </c>
    </row>
    <row r="78" spans="1:18" ht="15.6" x14ac:dyDescent="0.3">
      <c r="A78" s="126"/>
      <c r="B78" s="128"/>
      <c r="C78" s="128"/>
      <c r="D78" s="7" t="s">
        <v>16</v>
      </c>
      <c r="E78" s="130"/>
      <c r="F78" s="6"/>
      <c r="G78" s="132"/>
      <c r="H78" s="134"/>
      <c r="I78" s="109"/>
      <c r="J78" s="126"/>
      <c r="K78" s="128"/>
      <c r="L78" s="128"/>
      <c r="M78" s="7" t="s">
        <v>16</v>
      </c>
      <c r="N78" s="130"/>
      <c r="O78" s="6"/>
      <c r="P78" s="132"/>
      <c r="Q78" s="134"/>
      <c r="R78" s="109"/>
    </row>
    <row r="79" spans="1:18" ht="15.6" x14ac:dyDescent="0.3">
      <c r="A79" s="8">
        <v>1</v>
      </c>
      <c r="B79" s="9" t="s">
        <v>34</v>
      </c>
      <c r="C79" s="10">
        <v>41</v>
      </c>
      <c r="D79" s="10">
        <v>6000</v>
      </c>
      <c r="E79" s="14">
        <f t="shared" ref="E79:E81" si="22">C79/D79</f>
        <v>6.8333333333333336E-3</v>
      </c>
      <c r="F79" s="6"/>
      <c r="G79" s="12">
        <v>1200</v>
      </c>
      <c r="H79" s="13">
        <f t="shared" ref="H79:H81" si="23">G79*E79</f>
        <v>8.2000000000000011</v>
      </c>
      <c r="I79" s="64"/>
      <c r="J79" s="8">
        <v>1</v>
      </c>
      <c r="K79" s="9" t="s">
        <v>188</v>
      </c>
      <c r="L79" s="10">
        <v>210</v>
      </c>
      <c r="M79" s="10">
        <v>200</v>
      </c>
      <c r="N79" s="14">
        <f t="shared" ref="N79:N82" si="24">L79/M79</f>
        <v>1.05</v>
      </c>
      <c r="O79" s="6"/>
      <c r="P79" s="12">
        <v>5</v>
      </c>
      <c r="Q79" s="13">
        <f t="shared" ref="Q79:Q82" si="25">P79*N79</f>
        <v>5.25</v>
      </c>
      <c r="R79" s="64"/>
    </row>
    <row r="80" spans="1:18" ht="15.6" x14ac:dyDescent="0.3">
      <c r="A80" s="8">
        <v>2</v>
      </c>
      <c r="B80" s="9" t="s">
        <v>158</v>
      </c>
      <c r="C80" s="10">
        <v>75</v>
      </c>
      <c r="D80" s="10">
        <v>400</v>
      </c>
      <c r="E80" s="14">
        <f t="shared" si="22"/>
        <v>0.1875</v>
      </c>
      <c r="F80" s="6"/>
      <c r="G80" s="12">
        <v>150</v>
      </c>
      <c r="H80" s="15">
        <f t="shared" si="23"/>
        <v>28.125</v>
      </c>
      <c r="I80" s="64"/>
      <c r="J80" s="8">
        <v>2</v>
      </c>
      <c r="K80" s="9" t="s">
        <v>28</v>
      </c>
      <c r="L80" s="10">
        <v>100</v>
      </c>
      <c r="M80" s="10">
        <v>50</v>
      </c>
      <c r="N80" s="14">
        <f t="shared" si="24"/>
        <v>2</v>
      </c>
      <c r="O80" s="6"/>
      <c r="P80" s="12">
        <v>1</v>
      </c>
      <c r="Q80" s="15">
        <f t="shared" si="25"/>
        <v>2</v>
      </c>
      <c r="R80" s="64"/>
    </row>
    <row r="81" spans="1:18" ht="15.6" x14ac:dyDescent="0.3">
      <c r="A81" s="8">
        <v>3</v>
      </c>
      <c r="B81" s="9" t="s">
        <v>155</v>
      </c>
      <c r="C81" s="10">
        <v>135</v>
      </c>
      <c r="D81" s="10">
        <v>1000</v>
      </c>
      <c r="E81" s="14">
        <f t="shared" si="22"/>
        <v>0.13500000000000001</v>
      </c>
      <c r="F81" s="6"/>
      <c r="G81" s="12">
        <v>100</v>
      </c>
      <c r="H81" s="13">
        <f t="shared" si="23"/>
        <v>13.5</v>
      </c>
      <c r="I81" s="64"/>
      <c r="J81" s="8">
        <v>3</v>
      </c>
      <c r="K81" s="9" t="s">
        <v>29</v>
      </c>
      <c r="L81" s="10">
        <v>19</v>
      </c>
      <c r="M81" s="10">
        <v>100</v>
      </c>
      <c r="N81" s="14">
        <f t="shared" si="24"/>
        <v>0.19</v>
      </c>
      <c r="O81" s="6"/>
      <c r="P81" s="12">
        <v>1</v>
      </c>
      <c r="Q81" s="13">
        <f t="shared" si="25"/>
        <v>0.19</v>
      </c>
      <c r="R81" s="64"/>
    </row>
    <row r="82" spans="1:18" ht="15.6" x14ac:dyDescent="0.3">
      <c r="A82" s="8">
        <v>4</v>
      </c>
      <c r="B82" s="9"/>
      <c r="C82" s="10"/>
      <c r="D82" s="10"/>
      <c r="E82" s="14"/>
      <c r="F82" s="6"/>
      <c r="G82" s="12"/>
      <c r="H82" s="13"/>
      <c r="I82" s="64"/>
      <c r="J82" s="8">
        <v>4</v>
      </c>
      <c r="K82" s="9" t="s">
        <v>34</v>
      </c>
      <c r="L82" s="10">
        <v>4.5999999999999996</v>
      </c>
      <c r="M82" s="10">
        <v>1500</v>
      </c>
      <c r="N82" s="14">
        <f t="shared" si="24"/>
        <v>3.0666666666666663E-3</v>
      </c>
      <c r="O82" s="6"/>
      <c r="P82" s="12">
        <v>150</v>
      </c>
      <c r="Q82" s="13">
        <f t="shared" si="25"/>
        <v>0.45999999999999996</v>
      </c>
      <c r="R82" s="64"/>
    </row>
    <row r="83" spans="1:18" ht="15.6" x14ac:dyDescent="0.3">
      <c r="A83" s="8">
        <v>5</v>
      </c>
      <c r="B83" s="9"/>
      <c r="C83" s="10"/>
      <c r="D83" s="10"/>
      <c r="E83" s="14"/>
      <c r="F83" s="6"/>
      <c r="G83" s="12"/>
      <c r="H83" s="13"/>
      <c r="I83" s="64"/>
      <c r="J83" s="8">
        <v>5</v>
      </c>
      <c r="K83" s="9"/>
      <c r="L83" s="10"/>
      <c r="M83" s="10"/>
      <c r="N83" s="14"/>
      <c r="O83" s="6"/>
      <c r="P83" s="12"/>
      <c r="Q83" s="13"/>
      <c r="R83" s="64"/>
    </row>
    <row r="84" spans="1:18" ht="15.6" x14ac:dyDescent="0.3">
      <c r="A84" s="8">
        <v>6</v>
      </c>
      <c r="B84" s="9"/>
      <c r="C84" s="10"/>
      <c r="D84" s="10"/>
      <c r="E84" s="14"/>
      <c r="F84" s="6"/>
      <c r="G84" s="12"/>
      <c r="H84" s="13"/>
      <c r="I84" s="64"/>
      <c r="J84" s="8">
        <v>6</v>
      </c>
      <c r="K84" s="9"/>
      <c r="L84" s="10"/>
      <c r="M84" s="10"/>
      <c r="N84" s="14"/>
      <c r="O84" s="6"/>
      <c r="P84" s="12"/>
      <c r="Q84" s="13"/>
      <c r="R84" s="64"/>
    </row>
    <row r="85" spans="1:18" ht="15.6" x14ac:dyDescent="0.3">
      <c r="A85" s="8">
        <v>7</v>
      </c>
      <c r="B85" s="9"/>
      <c r="C85" s="10"/>
      <c r="D85" s="10"/>
      <c r="E85" s="14"/>
      <c r="F85" s="6"/>
      <c r="G85" s="12"/>
      <c r="H85" s="13"/>
      <c r="I85" s="64"/>
      <c r="J85" s="8">
        <v>7</v>
      </c>
      <c r="K85" s="9"/>
      <c r="L85" s="10"/>
      <c r="M85" s="10"/>
      <c r="N85" s="14"/>
      <c r="O85" s="6"/>
      <c r="P85" s="12"/>
      <c r="Q85" s="13"/>
      <c r="R85" s="64"/>
    </row>
    <row r="86" spans="1:18" ht="15.6" x14ac:dyDescent="0.3">
      <c r="A86" s="8">
        <v>8</v>
      </c>
      <c r="B86" s="9"/>
      <c r="C86" s="10"/>
      <c r="D86" s="10"/>
      <c r="E86" s="14"/>
      <c r="F86" s="6"/>
      <c r="G86" s="12"/>
      <c r="H86" s="13"/>
      <c r="I86" s="64"/>
      <c r="J86" s="8">
        <v>8</v>
      </c>
      <c r="K86" s="9"/>
      <c r="L86" s="10"/>
      <c r="M86" s="10"/>
      <c r="N86" s="14"/>
      <c r="O86" s="6"/>
      <c r="P86" s="12"/>
      <c r="Q86" s="13"/>
      <c r="R86" s="64"/>
    </row>
    <row r="87" spans="1:18" ht="15.6" x14ac:dyDescent="0.3">
      <c r="A87" s="8">
        <v>9</v>
      </c>
      <c r="B87" s="9"/>
      <c r="C87" s="10"/>
      <c r="D87" s="10"/>
      <c r="E87" s="14"/>
      <c r="F87" s="6"/>
      <c r="G87" s="12"/>
      <c r="H87" s="13"/>
      <c r="I87" s="64"/>
      <c r="J87" s="8">
        <v>9</v>
      </c>
      <c r="K87" s="9"/>
      <c r="L87" s="10"/>
      <c r="M87" s="10"/>
      <c r="N87" s="14"/>
      <c r="O87" s="6"/>
      <c r="P87" s="12"/>
      <c r="Q87" s="13"/>
      <c r="R87" s="64"/>
    </row>
    <row r="88" spans="1:18" ht="16.2" thickBot="1" x14ac:dyDescent="0.35">
      <c r="A88" s="16">
        <v>10</v>
      </c>
      <c r="B88" s="17"/>
      <c r="C88" s="18"/>
      <c r="D88" s="18"/>
      <c r="E88" s="19"/>
      <c r="F88" s="6"/>
      <c r="G88" s="12"/>
      <c r="H88" s="13"/>
      <c r="I88" s="64"/>
      <c r="J88" s="16">
        <v>10</v>
      </c>
      <c r="K88" s="17"/>
      <c r="L88" s="18"/>
      <c r="M88" s="18"/>
      <c r="N88" s="19"/>
      <c r="O88" s="6"/>
      <c r="P88" s="12"/>
      <c r="Q88" s="13"/>
      <c r="R88" s="64"/>
    </row>
    <row r="89" spans="1:18" ht="16.2" thickBot="1" x14ac:dyDescent="0.35">
      <c r="A89" s="65"/>
      <c r="B89" s="6"/>
      <c r="C89" s="6"/>
      <c r="D89" s="6"/>
      <c r="E89" s="6"/>
      <c r="F89" s="6"/>
      <c r="G89" s="20" t="s">
        <v>18</v>
      </c>
      <c r="H89" s="70">
        <f>SUM(H79:H88)</f>
        <v>49.825000000000003</v>
      </c>
      <c r="I89" s="64"/>
      <c r="J89" s="65"/>
      <c r="K89" s="6"/>
      <c r="L89" s="6"/>
      <c r="M89" s="6"/>
      <c r="N89" s="6"/>
      <c r="O89" s="6"/>
      <c r="P89" s="20" t="s">
        <v>18</v>
      </c>
      <c r="Q89" s="70">
        <f>SUM(Q79:Q88)</f>
        <v>7.9</v>
      </c>
      <c r="R89" s="64"/>
    </row>
    <row r="90" spans="1:18" ht="16.2" thickBot="1" x14ac:dyDescent="0.35">
      <c r="A90" s="65"/>
      <c r="B90" s="6"/>
      <c r="C90" s="6"/>
      <c r="D90" s="6"/>
      <c r="E90" s="6"/>
      <c r="F90" s="6"/>
      <c r="G90" s="6"/>
      <c r="H90" s="6"/>
      <c r="I90" s="64"/>
      <c r="J90" s="65"/>
      <c r="K90" s="6"/>
      <c r="L90" s="6"/>
      <c r="M90" s="6"/>
      <c r="N90" s="6"/>
      <c r="O90" s="6"/>
      <c r="P90" s="6"/>
      <c r="Q90" s="6"/>
      <c r="R90" s="64"/>
    </row>
    <row r="91" spans="1:18" ht="15.6" x14ac:dyDescent="0.3">
      <c r="A91" s="110" t="s">
        <v>19</v>
      </c>
      <c r="B91" s="111"/>
      <c r="C91" s="111"/>
      <c r="D91" s="111"/>
      <c r="E91" s="111"/>
      <c r="F91" s="111"/>
      <c r="G91" s="111"/>
      <c r="H91" s="112"/>
      <c r="I91" s="64"/>
      <c r="J91" s="110" t="s">
        <v>19</v>
      </c>
      <c r="K91" s="111"/>
      <c r="L91" s="111"/>
      <c r="M91" s="111"/>
      <c r="N91" s="111"/>
      <c r="O91" s="111"/>
      <c r="P91" s="111"/>
      <c r="Q91" s="112"/>
      <c r="R91" s="64"/>
    </row>
    <row r="92" spans="1:18" ht="15.6" x14ac:dyDescent="0.3">
      <c r="A92" s="113" t="s">
        <v>20</v>
      </c>
      <c r="B92" s="114"/>
      <c r="C92" s="115"/>
      <c r="D92" s="116">
        <f>H89</f>
        <v>49.825000000000003</v>
      </c>
      <c r="E92" s="116"/>
      <c r="F92" s="117" t="s">
        <v>21</v>
      </c>
      <c r="G92" s="118"/>
      <c r="H92" s="71">
        <f>D92*30%+D92</f>
        <v>64.772500000000008</v>
      </c>
      <c r="I92" s="64"/>
      <c r="J92" s="113" t="s">
        <v>20</v>
      </c>
      <c r="K92" s="114"/>
      <c r="L92" s="115"/>
      <c r="M92" s="116">
        <f>Q89</f>
        <v>7.9</v>
      </c>
      <c r="N92" s="116"/>
      <c r="O92" s="117" t="s">
        <v>21</v>
      </c>
      <c r="P92" s="118"/>
      <c r="Q92" s="71">
        <f>M92*30%+M92</f>
        <v>10.27</v>
      </c>
      <c r="R92" s="64"/>
    </row>
    <row r="93" spans="1:18" ht="16.2" thickBot="1" x14ac:dyDescent="0.35">
      <c r="A93" s="119" t="s">
        <v>22</v>
      </c>
      <c r="B93" s="120"/>
      <c r="C93" s="121"/>
      <c r="D93" s="122">
        <f>H92</f>
        <v>64.772500000000008</v>
      </c>
      <c r="E93" s="122"/>
      <c r="F93" s="123">
        <v>1.6</v>
      </c>
      <c r="G93" s="124"/>
      <c r="H93" s="25">
        <f>D93*F93</f>
        <v>103.63600000000002</v>
      </c>
      <c r="I93" s="66"/>
      <c r="J93" s="119" t="s">
        <v>22</v>
      </c>
      <c r="K93" s="120"/>
      <c r="L93" s="121"/>
      <c r="M93" s="122">
        <f>Q92</f>
        <v>10.27</v>
      </c>
      <c r="N93" s="122"/>
      <c r="O93" s="123">
        <v>1.6</v>
      </c>
      <c r="P93" s="124"/>
      <c r="Q93" s="25">
        <f>M93*O93</f>
        <v>16.431999999999999</v>
      </c>
      <c r="R93" s="66"/>
    </row>
    <row r="95" spans="1:18" ht="15" thickBot="1" x14ac:dyDescent="0.35"/>
    <row r="96" spans="1:18" ht="15.6" x14ac:dyDescent="0.3">
      <c r="A96" s="125" t="s">
        <v>9</v>
      </c>
      <c r="B96" s="127" t="s">
        <v>10</v>
      </c>
      <c r="C96" s="127" t="s">
        <v>11</v>
      </c>
      <c r="D96" s="5" t="s">
        <v>12</v>
      </c>
      <c r="E96" s="129" t="s">
        <v>13</v>
      </c>
      <c r="F96" s="63"/>
      <c r="G96" s="131" t="s">
        <v>14</v>
      </c>
      <c r="H96" s="133" t="s">
        <v>15</v>
      </c>
      <c r="I96" s="108" t="s">
        <v>184</v>
      </c>
      <c r="J96" s="125" t="s">
        <v>9</v>
      </c>
      <c r="K96" s="127" t="s">
        <v>10</v>
      </c>
      <c r="L96" s="127" t="s">
        <v>11</v>
      </c>
      <c r="M96" s="5" t="s">
        <v>12</v>
      </c>
      <c r="N96" s="129" t="s">
        <v>13</v>
      </c>
      <c r="O96" s="63"/>
      <c r="P96" s="131" t="s">
        <v>14</v>
      </c>
      <c r="Q96" s="133" t="s">
        <v>15</v>
      </c>
      <c r="R96" s="108" t="s">
        <v>189</v>
      </c>
    </row>
    <row r="97" spans="1:20" ht="15.6" x14ac:dyDescent="0.3">
      <c r="A97" s="126"/>
      <c r="B97" s="128"/>
      <c r="C97" s="128"/>
      <c r="D97" s="7" t="s">
        <v>16</v>
      </c>
      <c r="E97" s="130"/>
      <c r="F97" s="6"/>
      <c r="G97" s="132"/>
      <c r="H97" s="134"/>
      <c r="I97" s="109"/>
      <c r="J97" s="126"/>
      <c r="K97" s="128"/>
      <c r="L97" s="128"/>
      <c r="M97" s="7" t="s">
        <v>16</v>
      </c>
      <c r="N97" s="130"/>
      <c r="O97" s="6"/>
      <c r="P97" s="132"/>
      <c r="Q97" s="134"/>
      <c r="R97" s="109"/>
    </row>
    <row r="98" spans="1:20" ht="15.6" x14ac:dyDescent="0.3">
      <c r="A98" s="8">
        <v>1</v>
      </c>
      <c r="B98" s="9" t="s">
        <v>183</v>
      </c>
      <c r="C98" s="10">
        <v>64.77</v>
      </c>
      <c r="D98" s="10">
        <v>900</v>
      </c>
      <c r="E98" s="14">
        <f t="shared" ref="E98:E103" si="26">C98/D98</f>
        <v>7.1966666666666665E-2</v>
      </c>
      <c r="F98" s="6"/>
      <c r="G98" s="12">
        <v>110</v>
      </c>
      <c r="H98" s="13">
        <f t="shared" ref="H98:H103" si="27">G98*E98</f>
        <v>7.9163333333333332</v>
      </c>
      <c r="I98" s="64"/>
      <c r="J98" s="8">
        <v>1</v>
      </c>
      <c r="K98" s="9" t="s">
        <v>188</v>
      </c>
      <c r="L98" s="10">
        <v>225</v>
      </c>
      <c r="M98" s="10">
        <v>100</v>
      </c>
      <c r="N98" s="14">
        <f t="shared" ref="N98:N103" si="28">L98/M98</f>
        <v>2.25</v>
      </c>
      <c r="O98" s="6"/>
      <c r="P98" s="12">
        <v>5</v>
      </c>
      <c r="Q98" s="13">
        <f t="shared" ref="Q98:Q103" si="29">P98*N98</f>
        <v>11.25</v>
      </c>
      <c r="R98" s="64"/>
    </row>
    <row r="99" spans="1:20" ht="15.6" x14ac:dyDescent="0.3">
      <c r="A99" s="8">
        <v>2</v>
      </c>
      <c r="B99" s="9" t="s">
        <v>28</v>
      </c>
      <c r="C99" s="10">
        <v>100</v>
      </c>
      <c r="D99" s="10">
        <v>50</v>
      </c>
      <c r="E99" s="14">
        <f t="shared" si="26"/>
        <v>2</v>
      </c>
      <c r="F99" s="6"/>
      <c r="G99" s="12">
        <v>1</v>
      </c>
      <c r="H99" s="15">
        <f t="shared" si="27"/>
        <v>2</v>
      </c>
      <c r="I99" s="64"/>
      <c r="J99" s="8">
        <v>2</v>
      </c>
      <c r="K99" s="9" t="s">
        <v>28</v>
      </c>
      <c r="L99" s="10">
        <v>100</v>
      </c>
      <c r="M99" s="10">
        <v>50</v>
      </c>
      <c r="N99" s="14">
        <f t="shared" si="28"/>
        <v>2</v>
      </c>
      <c r="O99" s="6"/>
      <c r="P99" s="12">
        <v>1</v>
      </c>
      <c r="Q99" s="15">
        <f t="shared" si="29"/>
        <v>2</v>
      </c>
      <c r="R99" s="64"/>
    </row>
    <row r="100" spans="1:20" ht="15.6" x14ac:dyDescent="0.3">
      <c r="A100" s="8">
        <v>3</v>
      </c>
      <c r="B100" s="9" t="s">
        <v>29</v>
      </c>
      <c r="C100" s="10">
        <v>19</v>
      </c>
      <c r="D100" s="10">
        <v>100</v>
      </c>
      <c r="E100" s="14">
        <f t="shared" si="26"/>
        <v>0.19</v>
      </c>
      <c r="F100" s="6"/>
      <c r="G100" s="12">
        <v>1</v>
      </c>
      <c r="H100" s="13">
        <f t="shared" si="27"/>
        <v>0.19</v>
      </c>
      <c r="I100" s="64"/>
      <c r="J100" s="8">
        <v>3</v>
      </c>
      <c r="K100" s="9" t="s">
        <v>29</v>
      </c>
      <c r="L100" s="10">
        <v>19</v>
      </c>
      <c r="M100" s="10">
        <v>100</v>
      </c>
      <c r="N100" s="14">
        <f t="shared" si="28"/>
        <v>0.19</v>
      </c>
      <c r="O100" s="6"/>
      <c r="P100" s="12">
        <v>1</v>
      </c>
      <c r="Q100" s="13">
        <f t="shared" si="29"/>
        <v>0.19</v>
      </c>
      <c r="R100" s="64"/>
    </row>
    <row r="101" spans="1:20" ht="15.6" x14ac:dyDescent="0.3">
      <c r="A101" s="8">
        <v>4</v>
      </c>
      <c r="B101" s="9" t="s">
        <v>61</v>
      </c>
      <c r="C101" s="10">
        <v>98</v>
      </c>
      <c r="D101" s="10">
        <v>2000</v>
      </c>
      <c r="E101" s="14">
        <f t="shared" si="26"/>
        <v>4.9000000000000002E-2</v>
      </c>
      <c r="F101" s="6"/>
      <c r="G101" s="12">
        <v>40</v>
      </c>
      <c r="H101" s="13">
        <f t="shared" si="27"/>
        <v>1.96</v>
      </c>
      <c r="I101" s="64"/>
      <c r="J101" s="8">
        <v>4</v>
      </c>
      <c r="K101" s="9" t="s">
        <v>61</v>
      </c>
      <c r="L101" s="10">
        <v>115</v>
      </c>
      <c r="M101" s="10">
        <v>1000</v>
      </c>
      <c r="N101" s="14">
        <f t="shared" si="28"/>
        <v>0.115</v>
      </c>
      <c r="O101" s="6"/>
      <c r="P101" s="12">
        <v>150</v>
      </c>
      <c r="Q101" s="13">
        <f t="shared" si="29"/>
        <v>17.25</v>
      </c>
      <c r="R101" s="64"/>
      <c r="T101">
        <v>600</v>
      </c>
    </row>
    <row r="102" spans="1:20" ht="15.6" x14ac:dyDescent="0.3">
      <c r="A102" s="8">
        <v>5</v>
      </c>
      <c r="B102" s="9" t="s">
        <v>144</v>
      </c>
      <c r="C102" s="10">
        <v>55</v>
      </c>
      <c r="D102" s="10">
        <v>1000</v>
      </c>
      <c r="E102" s="14">
        <f t="shared" si="26"/>
        <v>5.5E-2</v>
      </c>
      <c r="F102" s="6"/>
      <c r="G102" s="12">
        <v>55</v>
      </c>
      <c r="H102" s="13">
        <f t="shared" si="27"/>
        <v>3.0249999999999999</v>
      </c>
      <c r="I102" s="64"/>
      <c r="J102" s="8">
        <v>5</v>
      </c>
      <c r="K102" s="9" t="s">
        <v>150</v>
      </c>
      <c r="L102" s="10">
        <v>45</v>
      </c>
      <c r="M102" s="10">
        <v>800</v>
      </c>
      <c r="N102" s="14">
        <f t="shared" si="28"/>
        <v>5.6250000000000001E-2</v>
      </c>
      <c r="O102" s="6"/>
      <c r="P102" s="12">
        <v>15</v>
      </c>
      <c r="Q102" s="13">
        <f t="shared" si="29"/>
        <v>0.84375</v>
      </c>
      <c r="R102" s="64">
        <v>60</v>
      </c>
    </row>
    <row r="103" spans="1:20" ht="15.6" x14ac:dyDescent="0.3">
      <c r="A103" s="8">
        <v>6</v>
      </c>
      <c r="B103" s="9" t="s">
        <v>145</v>
      </c>
      <c r="C103" s="10">
        <v>118</v>
      </c>
      <c r="D103" s="10">
        <v>2000</v>
      </c>
      <c r="E103" s="14">
        <f t="shared" si="26"/>
        <v>5.8999999999999997E-2</v>
      </c>
      <c r="F103" s="6"/>
      <c r="G103" s="12">
        <v>30</v>
      </c>
      <c r="H103" s="13">
        <f t="shared" si="27"/>
        <v>1.77</v>
      </c>
      <c r="I103" s="64"/>
      <c r="J103" s="8">
        <v>6</v>
      </c>
      <c r="K103" s="9"/>
      <c r="L103" s="10">
        <v>280</v>
      </c>
      <c r="M103" s="10">
        <v>340</v>
      </c>
      <c r="N103" s="14">
        <f t="shared" si="28"/>
        <v>0.82352941176470584</v>
      </c>
      <c r="O103" s="6"/>
      <c r="P103" s="12">
        <v>0</v>
      </c>
      <c r="Q103" s="13">
        <f t="shared" si="29"/>
        <v>0</v>
      </c>
      <c r="R103" s="64">
        <v>28.12</v>
      </c>
    </row>
    <row r="104" spans="1:20" ht="15.6" x14ac:dyDescent="0.3">
      <c r="A104" s="8">
        <v>7</v>
      </c>
      <c r="B104" s="9"/>
      <c r="C104" s="10"/>
      <c r="D104" s="10"/>
      <c r="E104" s="14"/>
      <c r="F104" s="6"/>
      <c r="G104" s="12"/>
      <c r="H104" s="13"/>
      <c r="I104" s="64"/>
      <c r="J104" s="8">
        <v>7</v>
      </c>
      <c r="K104" s="9"/>
      <c r="L104" s="10"/>
      <c r="M104" s="10"/>
      <c r="N104" s="14"/>
      <c r="O104" s="6"/>
      <c r="P104" s="12"/>
      <c r="Q104" s="13"/>
      <c r="R104" s="64">
        <f>R102-R103</f>
        <v>31.88</v>
      </c>
    </row>
    <row r="105" spans="1:20" ht="15.6" x14ac:dyDescent="0.3">
      <c r="A105" s="8">
        <v>8</v>
      </c>
      <c r="B105" s="9"/>
      <c r="C105" s="10"/>
      <c r="D105" s="10"/>
      <c r="E105" s="14"/>
      <c r="F105" s="6"/>
      <c r="G105" s="12"/>
      <c r="H105" s="13"/>
      <c r="I105" s="64"/>
      <c r="J105" s="8">
        <v>8</v>
      </c>
      <c r="K105" s="9"/>
      <c r="L105" s="10"/>
      <c r="M105" s="10"/>
      <c r="N105" s="14"/>
      <c r="O105" s="6"/>
      <c r="P105" s="12"/>
      <c r="Q105" s="13"/>
      <c r="R105" s="64"/>
    </row>
    <row r="106" spans="1:20" ht="15.6" x14ac:dyDescent="0.3">
      <c r="A106" s="8">
        <v>9</v>
      </c>
      <c r="B106" s="9"/>
      <c r="C106" s="10"/>
      <c r="D106" s="10"/>
      <c r="E106" s="14"/>
      <c r="F106" s="6"/>
      <c r="G106" s="12"/>
      <c r="H106" s="13"/>
      <c r="I106" s="64"/>
      <c r="J106" s="8">
        <v>9</v>
      </c>
      <c r="K106" s="9"/>
      <c r="L106" s="10"/>
      <c r="M106" s="10"/>
      <c r="N106" s="14"/>
      <c r="O106" s="6"/>
      <c r="P106" s="12"/>
      <c r="Q106" s="13"/>
      <c r="R106" s="64">
        <v>75</v>
      </c>
    </row>
    <row r="107" spans="1:20" ht="16.2" thickBot="1" x14ac:dyDescent="0.35">
      <c r="A107" s="16">
        <v>10</v>
      </c>
      <c r="B107" s="17"/>
      <c r="C107" s="18"/>
      <c r="D107" s="18"/>
      <c r="E107" s="19"/>
      <c r="F107" s="6"/>
      <c r="G107" s="12"/>
      <c r="H107" s="13"/>
      <c r="I107" s="64"/>
      <c r="J107" s="16">
        <v>10</v>
      </c>
      <c r="K107" s="17"/>
      <c r="L107" s="18"/>
      <c r="M107" s="18"/>
      <c r="N107" s="19"/>
      <c r="O107" s="6"/>
      <c r="P107" s="12"/>
      <c r="Q107" s="13"/>
      <c r="R107" s="64">
        <v>40.99</v>
      </c>
    </row>
    <row r="108" spans="1:20" ht="16.2" thickBot="1" x14ac:dyDescent="0.35">
      <c r="A108" s="65"/>
      <c r="B108" s="6"/>
      <c r="C108" s="6"/>
      <c r="D108" s="6"/>
      <c r="E108" s="6"/>
      <c r="F108" s="6"/>
      <c r="G108" s="20" t="s">
        <v>18</v>
      </c>
      <c r="H108" s="70">
        <f>SUM(H98:H107)</f>
        <v>16.861333333333334</v>
      </c>
      <c r="I108" s="64"/>
      <c r="J108" s="65"/>
      <c r="K108" s="6"/>
      <c r="L108" s="6"/>
      <c r="M108" s="6"/>
      <c r="N108" s="6"/>
      <c r="O108" s="6"/>
      <c r="P108" s="20" t="s">
        <v>18</v>
      </c>
      <c r="Q108" s="70">
        <f>SUM(Q98:Q107)</f>
        <v>31.533749999999998</v>
      </c>
      <c r="R108" s="64">
        <f>R106-R107</f>
        <v>34.01</v>
      </c>
    </row>
    <row r="109" spans="1:20" ht="16.2" thickBot="1" x14ac:dyDescent="0.35">
      <c r="A109" s="65"/>
      <c r="B109" s="6"/>
      <c r="C109" s="6"/>
      <c r="D109" s="6"/>
      <c r="E109" s="6"/>
      <c r="F109" s="6"/>
      <c r="G109" s="6"/>
      <c r="H109" s="6"/>
      <c r="I109" s="64"/>
      <c r="J109" s="65"/>
      <c r="K109" s="6"/>
      <c r="L109" s="6"/>
      <c r="M109" s="6"/>
      <c r="N109" s="6"/>
      <c r="O109" s="6"/>
      <c r="P109" s="6"/>
      <c r="Q109" s="6"/>
      <c r="R109" s="64"/>
    </row>
    <row r="110" spans="1:20" ht="15.6" x14ac:dyDescent="0.3">
      <c r="A110" s="110" t="s">
        <v>19</v>
      </c>
      <c r="B110" s="111"/>
      <c r="C110" s="111"/>
      <c r="D110" s="111"/>
      <c r="E110" s="111"/>
      <c r="F110" s="111"/>
      <c r="G110" s="111"/>
      <c r="H110" s="112"/>
      <c r="I110" s="64"/>
      <c r="J110" s="110" t="s">
        <v>19</v>
      </c>
      <c r="K110" s="111"/>
      <c r="L110" s="111"/>
      <c r="M110" s="111"/>
      <c r="N110" s="111"/>
      <c r="O110" s="111"/>
      <c r="P110" s="111"/>
      <c r="Q110" s="112"/>
      <c r="R110" s="64"/>
    </row>
    <row r="111" spans="1:20" ht="15.6" x14ac:dyDescent="0.3">
      <c r="A111" s="113" t="s">
        <v>20</v>
      </c>
      <c r="B111" s="114"/>
      <c r="C111" s="115"/>
      <c r="D111" s="116">
        <f>H108</f>
        <v>16.861333333333334</v>
      </c>
      <c r="E111" s="116"/>
      <c r="F111" s="117" t="s">
        <v>21</v>
      </c>
      <c r="G111" s="118"/>
      <c r="H111" s="71">
        <f>D111*30%+D111</f>
        <v>21.919733333333333</v>
      </c>
      <c r="I111" s="64"/>
      <c r="J111" s="113" t="s">
        <v>20</v>
      </c>
      <c r="K111" s="114"/>
      <c r="L111" s="115"/>
      <c r="M111" s="116">
        <f>Q108</f>
        <v>31.533749999999998</v>
      </c>
      <c r="N111" s="116"/>
      <c r="O111" s="117" t="s">
        <v>21</v>
      </c>
      <c r="P111" s="118"/>
      <c r="Q111" s="71">
        <f>M111*30%+M111</f>
        <v>40.993874999999996</v>
      </c>
      <c r="R111" s="64"/>
    </row>
    <row r="112" spans="1:20" ht="16.2" thickBot="1" x14ac:dyDescent="0.35">
      <c r="A112" s="119" t="s">
        <v>22</v>
      </c>
      <c r="B112" s="120"/>
      <c r="C112" s="121"/>
      <c r="D112" s="122">
        <f>H111</f>
        <v>21.919733333333333</v>
      </c>
      <c r="E112" s="122"/>
      <c r="F112" s="123">
        <v>1.6</v>
      </c>
      <c r="G112" s="124"/>
      <c r="H112" s="25">
        <f>D112*F112</f>
        <v>35.071573333333333</v>
      </c>
      <c r="I112" s="66"/>
      <c r="J112" s="119" t="s">
        <v>22</v>
      </c>
      <c r="K112" s="120"/>
      <c r="L112" s="121"/>
      <c r="M112" s="122">
        <f>Q111</f>
        <v>40.993874999999996</v>
      </c>
      <c r="N112" s="122"/>
      <c r="O112" s="123">
        <v>1.6</v>
      </c>
      <c r="P112" s="124"/>
      <c r="Q112" s="25">
        <f>M112*O112</f>
        <v>65.590199999999996</v>
      </c>
      <c r="R112" s="66"/>
    </row>
    <row r="114" spans="1:9" ht="15" thickBot="1" x14ac:dyDescent="0.35"/>
    <row r="115" spans="1:9" ht="15.6" x14ac:dyDescent="0.3">
      <c r="A115" s="125" t="s">
        <v>9</v>
      </c>
      <c r="B115" s="127" t="s">
        <v>10</v>
      </c>
      <c r="C115" s="127" t="s">
        <v>11</v>
      </c>
      <c r="D115" s="5" t="s">
        <v>12</v>
      </c>
      <c r="E115" s="129" t="s">
        <v>13</v>
      </c>
      <c r="F115" s="63"/>
      <c r="G115" s="131" t="s">
        <v>14</v>
      </c>
      <c r="H115" s="133" t="s">
        <v>15</v>
      </c>
      <c r="I115" s="108" t="s">
        <v>190</v>
      </c>
    </row>
    <row r="116" spans="1:9" ht="15.6" x14ac:dyDescent="0.3">
      <c r="A116" s="126"/>
      <c r="B116" s="128"/>
      <c r="C116" s="128"/>
      <c r="D116" s="7" t="s">
        <v>16</v>
      </c>
      <c r="E116" s="130"/>
      <c r="F116" s="6"/>
      <c r="G116" s="132"/>
      <c r="H116" s="134"/>
      <c r="I116" s="109"/>
    </row>
    <row r="117" spans="1:9" ht="15.6" x14ac:dyDescent="0.3">
      <c r="A117" s="8">
        <v>1</v>
      </c>
      <c r="B117" s="9" t="s">
        <v>28</v>
      </c>
      <c r="C117" s="10">
        <v>100</v>
      </c>
      <c r="D117" s="10">
        <v>50</v>
      </c>
      <c r="E117" s="14">
        <f t="shared" ref="E117:E125" si="30">C117/D117</f>
        <v>2</v>
      </c>
      <c r="F117" s="6"/>
      <c r="G117" s="12">
        <v>2</v>
      </c>
      <c r="H117" s="13">
        <f t="shared" ref="H117:H125" si="31">G117*E117</f>
        <v>4</v>
      </c>
      <c r="I117" s="64"/>
    </row>
    <row r="118" spans="1:9" ht="15.6" x14ac:dyDescent="0.3">
      <c r="A118" s="8">
        <v>2</v>
      </c>
      <c r="B118" s="9" t="s">
        <v>29</v>
      </c>
      <c r="C118" s="10">
        <v>19</v>
      </c>
      <c r="D118" s="10">
        <v>100</v>
      </c>
      <c r="E118" s="14">
        <f t="shared" si="30"/>
        <v>0.19</v>
      </c>
      <c r="F118" s="6"/>
      <c r="G118" s="12">
        <v>1</v>
      </c>
      <c r="H118" s="15">
        <f t="shared" si="31"/>
        <v>0.19</v>
      </c>
      <c r="I118" s="64"/>
    </row>
    <row r="119" spans="1:9" ht="15.6" x14ac:dyDescent="0.3">
      <c r="A119" s="8">
        <v>3</v>
      </c>
      <c r="B119" s="9" t="s">
        <v>162</v>
      </c>
      <c r="C119" s="10">
        <v>120</v>
      </c>
      <c r="D119" s="10">
        <v>900</v>
      </c>
      <c r="E119" s="14">
        <f t="shared" si="30"/>
        <v>0.13333333333333333</v>
      </c>
      <c r="F119" s="6"/>
      <c r="G119" s="12">
        <v>50</v>
      </c>
      <c r="H119" s="15">
        <f t="shared" si="31"/>
        <v>6.666666666666667</v>
      </c>
      <c r="I119" s="64"/>
    </row>
    <row r="120" spans="1:9" ht="15.6" x14ac:dyDescent="0.3">
      <c r="A120" s="8">
        <v>4</v>
      </c>
      <c r="B120" s="9" t="s">
        <v>144</v>
      </c>
      <c r="C120" s="10">
        <v>55</v>
      </c>
      <c r="D120" s="10">
        <v>1000</v>
      </c>
      <c r="E120" s="14">
        <f t="shared" si="30"/>
        <v>5.5E-2</v>
      </c>
      <c r="F120" s="6"/>
      <c r="G120" s="12">
        <v>20</v>
      </c>
      <c r="H120" s="15">
        <f t="shared" si="31"/>
        <v>1.1000000000000001</v>
      </c>
      <c r="I120" s="64"/>
    </row>
    <row r="121" spans="1:9" ht="15.6" x14ac:dyDescent="0.3">
      <c r="A121" s="8">
        <v>5</v>
      </c>
      <c r="B121" s="9" t="s">
        <v>145</v>
      </c>
      <c r="C121" s="10">
        <v>118</v>
      </c>
      <c r="D121" s="10">
        <v>2000</v>
      </c>
      <c r="E121" s="14">
        <f t="shared" si="30"/>
        <v>5.8999999999999997E-2</v>
      </c>
      <c r="F121" s="6"/>
      <c r="G121" s="12">
        <v>20</v>
      </c>
      <c r="H121" s="15">
        <f t="shared" si="31"/>
        <v>1.18</v>
      </c>
      <c r="I121" s="64"/>
    </row>
    <row r="122" spans="1:9" ht="15.6" x14ac:dyDescent="0.3">
      <c r="A122" s="8">
        <v>6</v>
      </c>
      <c r="B122" s="9" t="s">
        <v>188</v>
      </c>
      <c r="C122" s="10">
        <v>210</v>
      </c>
      <c r="D122" s="10">
        <v>200</v>
      </c>
      <c r="E122" s="14">
        <f t="shared" si="30"/>
        <v>1.05</v>
      </c>
      <c r="F122" s="6"/>
      <c r="G122" s="12">
        <v>2</v>
      </c>
      <c r="H122" s="15">
        <f t="shared" si="31"/>
        <v>2.1</v>
      </c>
      <c r="I122" s="64"/>
    </row>
    <row r="123" spans="1:9" ht="15.6" x14ac:dyDescent="0.3">
      <c r="A123" s="8">
        <v>7</v>
      </c>
      <c r="B123" s="9" t="s">
        <v>61</v>
      </c>
      <c r="C123" s="10">
        <v>98</v>
      </c>
      <c r="D123" s="10">
        <v>2000</v>
      </c>
      <c r="E123" s="14">
        <f t="shared" si="30"/>
        <v>4.9000000000000002E-2</v>
      </c>
      <c r="F123" s="6"/>
      <c r="G123" s="12">
        <v>50</v>
      </c>
      <c r="H123" s="15">
        <f t="shared" si="31"/>
        <v>2.4500000000000002</v>
      </c>
      <c r="I123" s="64"/>
    </row>
    <row r="124" spans="1:9" ht="15.6" x14ac:dyDescent="0.3">
      <c r="A124" s="8">
        <v>8</v>
      </c>
      <c r="B124" s="9" t="s">
        <v>76</v>
      </c>
      <c r="C124" s="10">
        <v>400</v>
      </c>
      <c r="D124" s="10">
        <v>1000</v>
      </c>
      <c r="E124" s="14">
        <f t="shared" si="30"/>
        <v>0.4</v>
      </c>
      <c r="F124" s="6"/>
      <c r="G124" s="12">
        <v>18</v>
      </c>
      <c r="H124" s="15">
        <f t="shared" si="31"/>
        <v>7.2</v>
      </c>
      <c r="I124" s="64"/>
    </row>
    <row r="125" spans="1:9" ht="15.6" x14ac:dyDescent="0.3">
      <c r="A125" s="8">
        <v>9</v>
      </c>
      <c r="B125" s="9" t="s">
        <v>156</v>
      </c>
      <c r="C125" s="10">
        <v>265</v>
      </c>
      <c r="D125" s="10">
        <v>350</v>
      </c>
      <c r="E125" s="14">
        <f t="shared" si="30"/>
        <v>0.75714285714285712</v>
      </c>
      <c r="F125" s="6"/>
      <c r="G125" s="12">
        <v>2</v>
      </c>
      <c r="H125" s="15">
        <f t="shared" si="31"/>
        <v>1.5142857142857142</v>
      </c>
      <c r="I125" s="64"/>
    </row>
    <row r="126" spans="1:9" ht="16.2" thickBot="1" x14ac:dyDescent="0.35">
      <c r="A126" s="16">
        <v>10</v>
      </c>
      <c r="B126" s="17"/>
      <c r="C126" s="18"/>
      <c r="D126" s="18"/>
      <c r="E126" s="19"/>
      <c r="F126" s="6"/>
      <c r="G126" s="12"/>
      <c r="H126" s="13"/>
      <c r="I126" s="64"/>
    </row>
    <row r="127" spans="1:9" ht="16.2" thickBot="1" x14ac:dyDescent="0.35">
      <c r="A127" s="65"/>
      <c r="B127" s="6"/>
      <c r="C127" s="6"/>
      <c r="D127" s="6"/>
      <c r="E127" s="6"/>
      <c r="F127" s="6"/>
      <c r="G127" s="20" t="s">
        <v>18</v>
      </c>
      <c r="H127" s="70">
        <f>SUM(H117:H126)</f>
        <v>26.400952380952383</v>
      </c>
      <c r="I127" s="64"/>
    </row>
    <row r="128" spans="1:9" ht="16.2" thickBot="1" x14ac:dyDescent="0.35">
      <c r="A128" s="65"/>
      <c r="B128" s="6"/>
      <c r="C128" s="6"/>
      <c r="D128" s="6"/>
      <c r="E128" s="6"/>
      <c r="F128" s="6"/>
      <c r="G128" s="6"/>
      <c r="H128" s="6"/>
      <c r="I128" s="64"/>
    </row>
    <row r="129" spans="1:9" ht="15.6" x14ac:dyDescent="0.3">
      <c r="A129" s="110" t="s">
        <v>19</v>
      </c>
      <c r="B129" s="111"/>
      <c r="C129" s="111"/>
      <c r="D129" s="111"/>
      <c r="E129" s="111"/>
      <c r="F129" s="111"/>
      <c r="G129" s="111"/>
      <c r="H129" s="112"/>
      <c r="I129" s="64"/>
    </row>
    <row r="130" spans="1:9" ht="15.6" x14ac:dyDescent="0.3">
      <c r="A130" s="113" t="s">
        <v>20</v>
      </c>
      <c r="B130" s="114"/>
      <c r="C130" s="115"/>
      <c r="D130" s="116">
        <f>H127</f>
        <v>26.400952380952383</v>
      </c>
      <c r="E130" s="116"/>
      <c r="F130" s="117" t="s">
        <v>21</v>
      </c>
      <c r="G130" s="118"/>
      <c r="H130" s="71">
        <f>D130*30%+D130</f>
        <v>34.321238095238101</v>
      </c>
      <c r="I130" s="64"/>
    </row>
    <row r="131" spans="1:9" ht="16.2" thickBot="1" x14ac:dyDescent="0.35">
      <c r="A131" s="119" t="s">
        <v>22</v>
      </c>
      <c r="B131" s="120"/>
      <c r="C131" s="121"/>
      <c r="D131" s="122">
        <f>H130</f>
        <v>34.321238095238101</v>
      </c>
      <c r="E131" s="122"/>
      <c r="F131" s="123">
        <v>1.6</v>
      </c>
      <c r="G131" s="124"/>
      <c r="H131" s="25">
        <f>D131*F131</f>
        <v>54.913980952380967</v>
      </c>
      <c r="I131" s="66"/>
    </row>
  </sheetData>
  <mergeCells count="224">
    <mergeCell ref="S55:U55"/>
    <mergeCell ref="V55:W55"/>
    <mergeCell ref="X55:Y55"/>
    <mergeCell ref="S39:S40"/>
    <mergeCell ref="T39:T40"/>
    <mergeCell ref="U39:U40"/>
    <mergeCell ref="W39:W40"/>
    <mergeCell ref="Y39:Y40"/>
    <mergeCell ref="Z39:Z40"/>
    <mergeCell ref="AA39:AA40"/>
    <mergeCell ref="S53:Z53"/>
    <mergeCell ref="S54:U54"/>
    <mergeCell ref="V54:W54"/>
    <mergeCell ref="X54:Y54"/>
    <mergeCell ref="AA20:AA21"/>
    <mergeCell ref="S34:Z34"/>
    <mergeCell ref="S35:U35"/>
    <mergeCell ref="V35:W35"/>
    <mergeCell ref="X35:Y35"/>
    <mergeCell ref="S36:U36"/>
    <mergeCell ref="V36:W36"/>
    <mergeCell ref="X36:Y36"/>
    <mergeCell ref="S17:U17"/>
    <mergeCell ref="V17:W17"/>
    <mergeCell ref="X17:Y17"/>
    <mergeCell ref="S20:S21"/>
    <mergeCell ref="T20:T21"/>
    <mergeCell ref="U20:U21"/>
    <mergeCell ref="W20:W21"/>
    <mergeCell ref="Y20:Y21"/>
    <mergeCell ref="Z20:Z21"/>
    <mergeCell ref="S1:S2"/>
    <mergeCell ref="T1:T2"/>
    <mergeCell ref="U1:U2"/>
    <mergeCell ref="W1:W2"/>
    <mergeCell ref="Y1:Y2"/>
    <mergeCell ref="Z1:Z2"/>
    <mergeCell ref="AA1:AA2"/>
    <mergeCell ref="S15:Z15"/>
    <mergeCell ref="S16:U16"/>
    <mergeCell ref="V16:W16"/>
    <mergeCell ref="X16:Y16"/>
    <mergeCell ref="A129:H129"/>
    <mergeCell ref="A130:C130"/>
    <mergeCell ref="D130:E130"/>
    <mergeCell ref="F130:G130"/>
    <mergeCell ref="A131:C131"/>
    <mergeCell ref="D131:E131"/>
    <mergeCell ref="F131:G131"/>
    <mergeCell ref="R96:R97"/>
    <mergeCell ref="J110:Q110"/>
    <mergeCell ref="J111:L111"/>
    <mergeCell ref="M111:N111"/>
    <mergeCell ref="O111:P111"/>
    <mergeCell ref="J112:L112"/>
    <mergeCell ref="M112:N112"/>
    <mergeCell ref="O112:P112"/>
    <mergeCell ref="A115:A116"/>
    <mergeCell ref="B115:B116"/>
    <mergeCell ref="C115:C116"/>
    <mergeCell ref="E115:E116"/>
    <mergeCell ref="G115:G116"/>
    <mergeCell ref="H115:H116"/>
    <mergeCell ref="I115:I116"/>
    <mergeCell ref="J93:L93"/>
    <mergeCell ref="M93:N93"/>
    <mergeCell ref="O93:P93"/>
    <mergeCell ref="J96:J97"/>
    <mergeCell ref="K96:K97"/>
    <mergeCell ref="L96:L97"/>
    <mergeCell ref="N96:N97"/>
    <mergeCell ref="P96:P97"/>
    <mergeCell ref="Q96:Q97"/>
    <mergeCell ref="J77:J78"/>
    <mergeCell ref="K77:K78"/>
    <mergeCell ref="L77:L78"/>
    <mergeCell ref="N77:N78"/>
    <mergeCell ref="P77:P78"/>
    <mergeCell ref="Q77:Q78"/>
    <mergeCell ref="R77:R78"/>
    <mergeCell ref="J91:Q91"/>
    <mergeCell ref="J92:L92"/>
    <mergeCell ref="M92:N92"/>
    <mergeCell ref="O92:P92"/>
    <mergeCell ref="A35:C35"/>
    <mergeCell ref="I96:I97"/>
    <mergeCell ref="A110:H110"/>
    <mergeCell ref="A111:C111"/>
    <mergeCell ref="D111:E111"/>
    <mergeCell ref="F111:G111"/>
    <mergeCell ref="A112:C112"/>
    <mergeCell ref="D112:E112"/>
    <mergeCell ref="F112:G112"/>
    <mergeCell ref="A91:H91"/>
    <mergeCell ref="A92:C92"/>
    <mergeCell ref="D92:E92"/>
    <mergeCell ref="F92:G92"/>
    <mergeCell ref="A93:C93"/>
    <mergeCell ref="D93:E93"/>
    <mergeCell ref="F93:G93"/>
    <mergeCell ref="A96:A97"/>
    <mergeCell ref="B96:B97"/>
    <mergeCell ref="C96:C97"/>
    <mergeCell ref="E96:E97"/>
    <mergeCell ref="G96:G97"/>
    <mergeCell ref="H96:H97"/>
    <mergeCell ref="I58:I59"/>
    <mergeCell ref="A72:H72"/>
    <mergeCell ref="G20:G21"/>
    <mergeCell ref="A77:A78"/>
    <mergeCell ref="B77:B78"/>
    <mergeCell ref="C77:C78"/>
    <mergeCell ref="E77:E78"/>
    <mergeCell ref="G77:G78"/>
    <mergeCell ref="H77:H78"/>
    <mergeCell ref="I77:I78"/>
    <mergeCell ref="I1:I2"/>
    <mergeCell ref="A15:H15"/>
    <mergeCell ref="A16:C16"/>
    <mergeCell ref="D16:E16"/>
    <mergeCell ref="F16:G16"/>
    <mergeCell ref="A17:C17"/>
    <mergeCell ref="D17:E17"/>
    <mergeCell ref="F17:G17"/>
    <mergeCell ref="A1:A2"/>
    <mergeCell ref="B1:B2"/>
    <mergeCell ref="C1:C2"/>
    <mergeCell ref="E1:E2"/>
    <mergeCell ref="G1:G2"/>
    <mergeCell ref="H1:H2"/>
    <mergeCell ref="I20:I21"/>
    <mergeCell ref="A34:H34"/>
    <mergeCell ref="H20:H21"/>
    <mergeCell ref="I39:I40"/>
    <mergeCell ref="A53:H53"/>
    <mergeCell ref="A54:C54"/>
    <mergeCell ref="D54:E54"/>
    <mergeCell ref="F54:G54"/>
    <mergeCell ref="A55:C55"/>
    <mergeCell ref="D55:E55"/>
    <mergeCell ref="F55:G55"/>
    <mergeCell ref="A39:A40"/>
    <mergeCell ref="B39:B40"/>
    <mergeCell ref="C39:C40"/>
    <mergeCell ref="E39:E40"/>
    <mergeCell ref="G39:G40"/>
    <mergeCell ref="H39:H40"/>
    <mergeCell ref="D35:E35"/>
    <mergeCell ref="F35:G35"/>
    <mergeCell ref="A36:C36"/>
    <mergeCell ref="D36:E36"/>
    <mergeCell ref="F36:G36"/>
    <mergeCell ref="A20:A21"/>
    <mergeCell ref="B20:B21"/>
    <mergeCell ref="C20:C21"/>
    <mergeCell ref="E20:E21"/>
    <mergeCell ref="A73:C73"/>
    <mergeCell ref="D73:E73"/>
    <mergeCell ref="F73:G73"/>
    <mergeCell ref="A74:C74"/>
    <mergeCell ref="D74:E74"/>
    <mergeCell ref="F74:G74"/>
    <mergeCell ref="A58:A59"/>
    <mergeCell ref="B58:B59"/>
    <mergeCell ref="C58:C59"/>
    <mergeCell ref="E58:E59"/>
    <mergeCell ref="G58:G59"/>
    <mergeCell ref="H58:H59"/>
    <mergeCell ref="R1:R2"/>
    <mergeCell ref="J15:Q15"/>
    <mergeCell ref="J16:L16"/>
    <mergeCell ref="M16:N16"/>
    <mergeCell ref="O16:P16"/>
    <mergeCell ref="J17:L17"/>
    <mergeCell ref="M17:N17"/>
    <mergeCell ref="O17:P17"/>
    <mergeCell ref="J1:J2"/>
    <mergeCell ref="K1:K2"/>
    <mergeCell ref="L1:L2"/>
    <mergeCell ref="N1:N2"/>
    <mergeCell ref="P1:P2"/>
    <mergeCell ref="Q1:Q2"/>
    <mergeCell ref="R20:R21"/>
    <mergeCell ref="J34:Q34"/>
    <mergeCell ref="J35:L35"/>
    <mergeCell ref="M35:N35"/>
    <mergeCell ref="O35:P35"/>
    <mergeCell ref="J36:L36"/>
    <mergeCell ref="M36:N36"/>
    <mergeCell ref="O36:P36"/>
    <mergeCell ref="J20:J21"/>
    <mergeCell ref="K20:K21"/>
    <mergeCell ref="L20:L21"/>
    <mergeCell ref="N20:N21"/>
    <mergeCell ref="P20:P21"/>
    <mergeCell ref="Q20:Q21"/>
    <mergeCell ref="R39:R40"/>
    <mergeCell ref="J53:Q53"/>
    <mergeCell ref="J54:L54"/>
    <mergeCell ref="M54:N54"/>
    <mergeCell ref="O54:P54"/>
    <mergeCell ref="J55:L55"/>
    <mergeCell ref="M55:N55"/>
    <mergeCell ref="O55:P55"/>
    <mergeCell ref="J39:J40"/>
    <mergeCell ref="K39:K40"/>
    <mergeCell ref="L39:L40"/>
    <mergeCell ref="N39:N40"/>
    <mergeCell ref="P39:P40"/>
    <mergeCell ref="Q39:Q40"/>
    <mergeCell ref="R58:R59"/>
    <mergeCell ref="J72:Q72"/>
    <mergeCell ref="J73:L73"/>
    <mergeCell ref="M73:N73"/>
    <mergeCell ref="O73:P73"/>
    <mergeCell ref="J74:L74"/>
    <mergeCell ref="M74:N74"/>
    <mergeCell ref="O74:P74"/>
    <mergeCell ref="J58:J59"/>
    <mergeCell ref="K58:K59"/>
    <mergeCell ref="L58:L59"/>
    <mergeCell ref="N58:N59"/>
    <mergeCell ref="P58:P59"/>
    <mergeCell ref="Q58:Q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63A5-5C3A-4116-A828-B5D207E22664}">
  <dimension ref="A1:AI235"/>
  <sheetViews>
    <sheetView topLeftCell="Q82" zoomScale="70" zoomScaleNormal="70" workbookViewId="0">
      <selection activeCell="Z97" sqref="Z97"/>
    </sheetView>
  </sheetViews>
  <sheetFormatPr defaultRowHeight="14.4" x14ac:dyDescent="0.3"/>
  <cols>
    <col min="1" max="1" width="8.44140625" customWidth="1"/>
    <col min="2" max="2" width="26.21875" customWidth="1"/>
    <col min="3" max="3" width="7.88671875" customWidth="1"/>
    <col min="4" max="4" width="16.77734375" customWidth="1"/>
    <col min="5" max="5" width="16.88671875" customWidth="1"/>
    <col min="6" max="6" width="8.88671875" customWidth="1"/>
    <col min="7" max="7" width="27.21875" customWidth="1"/>
    <col min="8" max="8" width="14.44140625" customWidth="1"/>
    <col min="9" max="9" width="27.44140625" bestFit="1" customWidth="1"/>
    <col min="10" max="10" width="8.44140625" customWidth="1"/>
    <col min="11" max="11" width="22.33203125" customWidth="1"/>
    <col min="12" max="12" width="7.88671875" customWidth="1"/>
    <col min="13" max="13" width="16.77734375" customWidth="1"/>
    <col min="14" max="14" width="16.88671875" customWidth="1"/>
    <col min="15" max="15" width="8.88671875" customWidth="1"/>
    <col min="16" max="16" width="27.21875" customWidth="1"/>
    <col min="17" max="17" width="14.44140625" bestFit="1" customWidth="1"/>
    <col min="18" max="18" width="22.33203125" bestFit="1" customWidth="1"/>
    <col min="19" max="19" width="11.5546875" customWidth="1"/>
    <col min="20" max="20" width="8.44140625" bestFit="1" customWidth="1"/>
    <col min="21" max="21" width="17" bestFit="1" customWidth="1"/>
    <col min="22" max="22" width="7.88671875" bestFit="1" customWidth="1"/>
    <col min="23" max="23" width="16.77734375" bestFit="1" customWidth="1"/>
    <col min="24" max="24" width="16.88671875" bestFit="1" customWidth="1"/>
    <col min="25" max="25" width="11.5546875" bestFit="1" customWidth="1"/>
    <col min="26" max="26" width="27.21875" bestFit="1" customWidth="1"/>
    <col min="27" max="27" width="14.44140625" bestFit="1" customWidth="1"/>
    <col min="28" max="28" width="31.33203125" bestFit="1" customWidth="1"/>
    <col min="29" max="29" width="9.77734375" bestFit="1" customWidth="1"/>
    <col min="30" max="30" width="13.77734375" bestFit="1" customWidth="1"/>
    <col min="31" max="31" width="13.88671875" bestFit="1" customWidth="1"/>
    <col min="32" max="32" width="7.6640625" bestFit="1" customWidth="1"/>
    <col min="33" max="33" width="10.88671875" bestFit="1" customWidth="1"/>
    <col min="34" max="34" width="11.88671875" bestFit="1" customWidth="1"/>
  </cols>
  <sheetData>
    <row r="1" spans="1:18" ht="15.6" x14ac:dyDescent="0.3">
      <c r="A1" s="125" t="s">
        <v>9</v>
      </c>
      <c r="B1" s="127" t="s">
        <v>10</v>
      </c>
      <c r="C1" s="127" t="s">
        <v>11</v>
      </c>
      <c r="D1" s="5" t="s">
        <v>12</v>
      </c>
      <c r="E1" s="129" t="s">
        <v>13</v>
      </c>
      <c r="F1" s="63"/>
      <c r="G1" s="131" t="s">
        <v>14</v>
      </c>
      <c r="H1" s="133" t="s">
        <v>15</v>
      </c>
      <c r="I1" s="152" t="s">
        <v>36</v>
      </c>
      <c r="J1" s="125" t="s">
        <v>9</v>
      </c>
      <c r="K1" s="127" t="s">
        <v>10</v>
      </c>
      <c r="L1" s="127" t="s">
        <v>11</v>
      </c>
      <c r="M1" s="5" t="s">
        <v>12</v>
      </c>
      <c r="N1" s="129" t="s">
        <v>13</v>
      </c>
      <c r="O1" s="63"/>
      <c r="P1" s="131" t="s">
        <v>14</v>
      </c>
      <c r="Q1" s="133" t="s">
        <v>15</v>
      </c>
      <c r="R1" s="146" t="s">
        <v>33</v>
      </c>
    </row>
    <row r="2" spans="1:18" ht="15.6" x14ac:dyDescent="0.3">
      <c r="A2" s="126"/>
      <c r="B2" s="128"/>
      <c r="C2" s="128"/>
      <c r="D2" s="7" t="s">
        <v>16</v>
      </c>
      <c r="E2" s="130"/>
      <c r="F2" s="6"/>
      <c r="G2" s="132"/>
      <c r="H2" s="134"/>
      <c r="I2" s="153"/>
      <c r="J2" s="126"/>
      <c r="K2" s="128"/>
      <c r="L2" s="128"/>
      <c r="M2" s="7" t="s">
        <v>16</v>
      </c>
      <c r="N2" s="130"/>
      <c r="O2" s="6"/>
      <c r="P2" s="132"/>
      <c r="Q2" s="134"/>
      <c r="R2" s="147"/>
    </row>
    <row r="3" spans="1:18" ht="15.6" x14ac:dyDescent="0.3">
      <c r="A3" s="8">
        <v>1</v>
      </c>
      <c r="B3" s="9" t="s">
        <v>76</v>
      </c>
      <c r="C3" s="10">
        <f>V96</f>
        <v>420</v>
      </c>
      <c r="D3" s="10">
        <f>W96</f>
        <v>1000</v>
      </c>
      <c r="E3" s="11">
        <f t="shared" ref="E3:E8" si="0">C3/D3</f>
        <v>0.42</v>
      </c>
      <c r="F3" s="6"/>
      <c r="G3" s="12">
        <v>18</v>
      </c>
      <c r="H3" s="13">
        <f t="shared" ref="H3:H8" si="1">G3*E3</f>
        <v>7.56</v>
      </c>
      <c r="I3" s="64"/>
      <c r="J3" s="8">
        <v>1</v>
      </c>
      <c r="K3" s="9" t="s">
        <v>76</v>
      </c>
      <c r="L3" s="10">
        <f>V96</f>
        <v>420</v>
      </c>
      <c r="M3" s="10">
        <f>W96</f>
        <v>1000</v>
      </c>
      <c r="N3" s="11">
        <f t="shared" ref="N3:N8" si="2">L3/M3</f>
        <v>0.42</v>
      </c>
      <c r="O3" s="6"/>
      <c r="P3" s="12">
        <v>18</v>
      </c>
      <c r="Q3" s="13">
        <f t="shared" ref="Q3:Q8" si="3">P3*N3</f>
        <v>7.56</v>
      </c>
      <c r="R3" s="64"/>
    </row>
    <row r="4" spans="1:18" ht="15.6" x14ac:dyDescent="0.3">
      <c r="A4" s="8">
        <v>2</v>
      </c>
      <c r="B4" s="9" t="s">
        <v>35</v>
      </c>
      <c r="C4" s="10">
        <v>100</v>
      </c>
      <c r="D4" s="10">
        <v>50</v>
      </c>
      <c r="E4" s="14">
        <f t="shared" si="0"/>
        <v>2</v>
      </c>
      <c r="F4" s="6"/>
      <c r="G4" s="12">
        <v>1</v>
      </c>
      <c r="H4" s="15">
        <f t="shared" si="1"/>
        <v>2</v>
      </c>
      <c r="I4" s="64"/>
      <c r="J4" s="8">
        <v>2</v>
      </c>
      <c r="K4" s="9" t="s">
        <v>28</v>
      </c>
      <c r="L4" s="10">
        <v>100</v>
      </c>
      <c r="M4" s="10">
        <v>50</v>
      </c>
      <c r="N4" s="14">
        <f t="shared" si="2"/>
        <v>2</v>
      </c>
      <c r="O4" s="6"/>
      <c r="P4" s="12">
        <v>1</v>
      </c>
      <c r="Q4" s="15">
        <f t="shared" si="3"/>
        <v>2</v>
      </c>
      <c r="R4" s="64"/>
    </row>
    <row r="5" spans="1:18" ht="15.6" x14ac:dyDescent="0.3">
      <c r="A5" s="8">
        <v>3</v>
      </c>
      <c r="B5" s="9" t="s">
        <v>29</v>
      </c>
      <c r="C5" s="10">
        <v>19</v>
      </c>
      <c r="D5" s="10">
        <v>100</v>
      </c>
      <c r="E5" s="14">
        <f t="shared" si="0"/>
        <v>0.19</v>
      </c>
      <c r="F5" s="6"/>
      <c r="G5" s="12">
        <v>1</v>
      </c>
      <c r="H5" s="13">
        <f t="shared" si="1"/>
        <v>0.19</v>
      </c>
      <c r="I5" s="64"/>
      <c r="J5" s="8">
        <v>3</v>
      </c>
      <c r="K5" s="9" t="s">
        <v>29</v>
      </c>
      <c r="L5" s="10">
        <v>19</v>
      </c>
      <c r="M5" s="10">
        <v>100</v>
      </c>
      <c r="N5" s="14">
        <f t="shared" si="2"/>
        <v>0.19</v>
      </c>
      <c r="O5" s="6"/>
      <c r="P5" s="12">
        <v>1</v>
      </c>
      <c r="Q5" s="13">
        <f t="shared" si="3"/>
        <v>0.19</v>
      </c>
      <c r="R5" s="64"/>
    </row>
    <row r="6" spans="1:18" ht="15.6" x14ac:dyDescent="0.3">
      <c r="A6" s="8">
        <v>4</v>
      </c>
      <c r="B6" s="9" t="s">
        <v>34</v>
      </c>
      <c r="C6" s="10">
        <v>4.5999999999999996</v>
      </c>
      <c r="D6" s="10">
        <v>1500</v>
      </c>
      <c r="E6" s="14">
        <f t="shared" si="0"/>
        <v>3.0666666666666663E-3</v>
      </c>
      <c r="F6" s="6"/>
      <c r="G6" s="12">
        <v>100</v>
      </c>
      <c r="H6" s="13">
        <f t="shared" si="1"/>
        <v>0.30666666666666664</v>
      </c>
      <c r="I6" s="64"/>
      <c r="J6" s="8">
        <v>4</v>
      </c>
      <c r="K6" s="9" t="s">
        <v>61</v>
      </c>
      <c r="L6" s="10">
        <v>12</v>
      </c>
      <c r="M6" s="10">
        <v>200</v>
      </c>
      <c r="N6" s="14">
        <f t="shared" si="2"/>
        <v>0.06</v>
      </c>
      <c r="O6" s="6"/>
      <c r="P6" s="12">
        <v>120</v>
      </c>
      <c r="Q6" s="13">
        <f t="shared" si="3"/>
        <v>7.1999999999999993</v>
      </c>
      <c r="R6" s="64"/>
    </row>
    <row r="7" spans="1:18" ht="15.6" x14ac:dyDescent="0.3">
      <c r="A7" s="8">
        <v>5</v>
      </c>
      <c r="B7" s="9" t="s">
        <v>149</v>
      </c>
      <c r="C7" s="10">
        <v>219</v>
      </c>
      <c r="D7" s="10">
        <v>1000</v>
      </c>
      <c r="E7" s="14">
        <f t="shared" si="0"/>
        <v>0.219</v>
      </c>
      <c r="F7" s="6"/>
      <c r="G7" s="12">
        <v>25</v>
      </c>
      <c r="H7" s="13">
        <f t="shared" si="1"/>
        <v>5.4749999999999996</v>
      </c>
      <c r="I7" s="64"/>
      <c r="J7" s="8">
        <v>5</v>
      </c>
      <c r="K7" s="9" t="s">
        <v>144</v>
      </c>
      <c r="L7" s="10">
        <v>55</v>
      </c>
      <c r="M7" s="10">
        <v>1000</v>
      </c>
      <c r="N7" s="14">
        <f t="shared" si="2"/>
        <v>5.5E-2</v>
      </c>
      <c r="O7" s="6"/>
      <c r="P7" s="12">
        <v>0</v>
      </c>
      <c r="Q7" s="13">
        <f t="shared" si="3"/>
        <v>0</v>
      </c>
      <c r="R7" s="64"/>
    </row>
    <row r="8" spans="1:18" ht="15.6" x14ac:dyDescent="0.3">
      <c r="A8" s="8">
        <v>6</v>
      </c>
      <c r="B8" s="9" t="s">
        <v>150</v>
      </c>
      <c r="C8" s="10">
        <v>45</v>
      </c>
      <c r="D8" s="10">
        <v>800</v>
      </c>
      <c r="E8" s="14">
        <f t="shared" si="0"/>
        <v>5.6250000000000001E-2</v>
      </c>
      <c r="F8" s="6"/>
      <c r="G8" s="12">
        <v>10</v>
      </c>
      <c r="H8" s="13">
        <f t="shared" si="1"/>
        <v>0.5625</v>
      </c>
      <c r="I8" s="64"/>
      <c r="J8" s="8">
        <v>6</v>
      </c>
      <c r="K8" s="9" t="s">
        <v>145</v>
      </c>
      <c r="L8" s="10">
        <v>118</v>
      </c>
      <c r="M8" s="10">
        <v>2000</v>
      </c>
      <c r="N8" s="14">
        <f t="shared" si="2"/>
        <v>5.8999999999999997E-2</v>
      </c>
      <c r="O8" s="6"/>
      <c r="P8" s="12">
        <v>20</v>
      </c>
      <c r="Q8" s="13">
        <f t="shared" si="3"/>
        <v>1.18</v>
      </c>
      <c r="R8" s="64"/>
    </row>
    <row r="9" spans="1:18" ht="15.6" x14ac:dyDescent="0.3">
      <c r="A9" s="8">
        <v>7</v>
      </c>
      <c r="B9" s="9"/>
      <c r="C9" s="10"/>
      <c r="D9" s="10"/>
      <c r="E9" s="14"/>
      <c r="F9" s="6"/>
      <c r="G9" s="12"/>
      <c r="H9" s="13"/>
      <c r="I9" s="64"/>
      <c r="J9" s="8">
        <v>7</v>
      </c>
      <c r="K9" s="9"/>
      <c r="L9" s="10"/>
      <c r="M9" s="10"/>
      <c r="N9" s="14"/>
      <c r="O9" s="6"/>
      <c r="P9" s="12"/>
      <c r="Q9" s="13"/>
      <c r="R9" s="64"/>
    </row>
    <row r="10" spans="1:18" ht="15.6" x14ac:dyDescent="0.3">
      <c r="A10" s="8">
        <v>8</v>
      </c>
      <c r="B10" s="9"/>
      <c r="C10" s="10"/>
      <c r="D10" s="10"/>
      <c r="E10" s="14"/>
      <c r="F10" s="6"/>
      <c r="G10" s="12"/>
      <c r="H10" s="13"/>
      <c r="I10" s="64"/>
      <c r="J10" s="8">
        <v>8</v>
      </c>
      <c r="K10" s="9"/>
      <c r="L10" s="10"/>
      <c r="M10" s="10"/>
      <c r="N10" s="14"/>
      <c r="O10" s="6"/>
      <c r="P10" s="12"/>
      <c r="Q10" s="13"/>
      <c r="R10" s="64"/>
    </row>
    <row r="11" spans="1:18" ht="15.6" x14ac:dyDescent="0.3">
      <c r="A11" s="8">
        <v>9</v>
      </c>
      <c r="B11" s="9"/>
      <c r="C11" s="10"/>
      <c r="D11" s="10"/>
      <c r="E11" s="14"/>
      <c r="F11" s="6"/>
      <c r="G11" s="12"/>
      <c r="H11" s="13"/>
      <c r="I11" s="64"/>
      <c r="J11" s="8">
        <v>9</v>
      </c>
      <c r="K11" s="9"/>
      <c r="L11" s="10"/>
      <c r="M11" s="10"/>
      <c r="N11" s="14"/>
      <c r="O11" s="6"/>
      <c r="P11" s="12"/>
      <c r="Q11" s="13"/>
      <c r="R11" s="64"/>
    </row>
    <row r="12" spans="1:18" ht="16.2" thickBot="1" x14ac:dyDescent="0.35">
      <c r="A12" s="16">
        <v>10</v>
      </c>
      <c r="B12" s="17"/>
      <c r="C12" s="18"/>
      <c r="D12" s="18"/>
      <c r="E12" s="19"/>
      <c r="F12" s="6"/>
      <c r="G12" s="12"/>
      <c r="H12" s="13"/>
      <c r="I12" s="64"/>
      <c r="J12" s="16">
        <v>10</v>
      </c>
      <c r="K12" s="17"/>
      <c r="L12" s="18"/>
      <c r="M12" s="18"/>
      <c r="N12" s="19"/>
      <c r="O12" s="6"/>
      <c r="P12" s="12"/>
      <c r="Q12" s="13"/>
      <c r="R12" s="64"/>
    </row>
    <row r="13" spans="1:18" ht="16.2" thickBot="1" x14ac:dyDescent="0.35">
      <c r="A13" s="65"/>
      <c r="B13" s="6"/>
      <c r="C13" s="6"/>
      <c r="D13" s="6"/>
      <c r="E13" s="6"/>
      <c r="F13" s="6"/>
      <c r="G13" s="20" t="s">
        <v>18</v>
      </c>
      <c r="H13" s="73">
        <f>SUM(H3:H12)</f>
        <v>16.094166666666666</v>
      </c>
      <c r="I13" s="64"/>
      <c r="J13" s="65"/>
      <c r="K13" s="6"/>
      <c r="L13" s="6"/>
      <c r="M13" s="6"/>
      <c r="N13" s="6"/>
      <c r="O13" s="6"/>
      <c r="P13" s="20" t="s">
        <v>18</v>
      </c>
      <c r="Q13" s="73">
        <f>SUM(Q3:Q12)</f>
        <v>18.129999999999995</v>
      </c>
      <c r="R13" s="64"/>
    </row>
    <row r="14" spans="1:18" ht="16.2" thickBot="1" x14ac:dyDescent="0.35">
      <c r="A14" s="65"/>
      <c r="B14" s="6"/>
      <c r="C14" s="6"/>
      <c r="D14" s="6"/>
      <c r="E14" s="6"/>
      <c r="F14" s="6"/>
      <c r="G14" s="22"/>
      <c r="H14" s="23"/>
      <c r="I14" s="64"/>
      <c r="J14" s="65"/>
      <c r="K14" s="6"/>
      <c r="L14" s="6"/>
      <c r="M14" s="6"/>
      <c r="N14" s="6"/>
      <c r="O14" s="6"/>
      <c r="P14" s="22"/>
      <c r="Q14" s="23"/>
      <c r="R14" s="64"/>
    </row>
    <row r="15" spans="1:18" ht="15.6" x14ac:dyDescent="0.3">
      <c r="A15" s="110" t="s">
        <v>19</v>
      </c>
      <c r="B15" s="111"/>
      <c r="C15" s="111"/>
      <c r="D15" s="111"/>
      <c r="E15" s="111"/>
      <c r="F15" s="111"/>
      <c r="G15" s="111"/>
      <c r="H15" s="112"/>
      <c r="I15" s="64"/>
      <c r="J15" s="110" t="s">
        <v>19</v>
      </c>
      <c r="K15" s="111"/>
      <c r="L15" s="111"/>
      <c r="M15" s="111"/>
      <c r="N15" s="111"/>
      <c r="O15" s="111"/>
      <c r="P15" s="111"/>
      <c r="Q15" s="112"/>
      <c r="R15" s="64"/>
    </row>
    <row r="16" spans="1:18" ht="15.6" x14ac:dyDescent="0.3">
      <c r="A16" s="113" t="s">
        <v>20</v>
      </c>
      <c r="B16" s="114"/>
      <c r="C16" s="115"/>
      <c r="D16" s="150">
        <f>H13</f>
        <v>16.094166666666666</v>
      </c>
      <c r="E16" s="151"/>
      <c r="F16" s="117" t="s">
        <v>21</v>
      </c>
      <c r="G16" s="118"/>
      <c r="H16" s="71">
        <f>D16*30%+D16</f>
        <v>20.922416666666667</v>
      </c>
      <c r="I16" s="64"/>
      <c r="J16" s="113" t="s">
        <v>20</v>
      </c>
      <c r="K16" s="114"/>
      <c r="L16" s="115"/>
      <c r="M16" s="116">
        <f>Q13</f>
        <v>18.129999999999995</v>
      </c>
      <c r="N16" s="116"/>
      <c r="O16" s="117" t="s">
        <v>21</v>
      </c>
      <c r="P16" s="118"/>
      <c r="Q16" s="71">
        <f>M16*30%+M16</f>
        <v>23.568999999999996</v>
      </c>
      <c r="R16" s="64"/>
    </row>
    <row r="17" spans="1:18" ht="16.2" thickBot="1" x14ac:dyDescent="0.35">
      <c r="A17" s="119" t="s">
        <v>22</v>
      </c>
      <c r="B17" s="120"/>
      <c r="C17" s="121"/>
      <c r="D17" s="148">
        <f>H16</f>
        <v>20.922416666666667</v>
      </c>
      <c r="E17" s="149"/>
      <c r="F17" s="123">
        <v>1.6</v>
      </c>
      <c r="G17" s="124"/>
      <c r="H17" s="25">
        <f>D17*F17</f>
        <v>33.475866666666668</v>
      </c>
      <c r="I17" s="66"/>
      <c r="J17" s="119" t="s">
        <v>22</v>
      </c>
      <c r="K17" s="120"/>
      <c r="L17" s="121"/>
      <c r="M17" s="122">
        <f>Q16</f>
        <v>23.568999999999996</v>
      </c>
      <c r="N17" s="122"/>
      <c r="O17" s="123">
        <v>1.6</v>
      </c>
      <c r="P17" s="124"/>
      <c r="Q17" s="25">
        <f>M17*O17</f>
        <v>37.710399999999993</v>
      </c>
      <c r="R17" s="66"/>
    </row>
    <row r="19" spans="1:18" ht="15" thickBot="1" x14ac:dyDescent="0.35"/>
    <row r="20" spans="1:18" ht="15.6" x14ac:dyDescent="0.3">
      <c r="A20" s="125" t="s">
        <v>9</v>
      </c>
      <c r="B20" s="127" t="s">
        <v>10</v>
      </c>
      <c r="C20" s="127" t="s">
        <v>11</v>
      </c>
      <c r="D20" s="5" t="s">
        <v>12</v>
      </c>
      <c r="E20" s="129" t="s">
        <v>13</v>
      </c>
      <c r="F20" s="63"/>
      <c r="G20" s="131" t="s">
        <v>14</v>
      </c>
      <c r="H20" s="133" t="s">
        <v>15</v>
      </c>
      <c r="I20" s="152" t="s">
        <v>50</v>
      </c>
      <c r="J20" s="125" t="s">
        <v>9</v>
      </c>
      <c r="K20" s="127" t="s">
        <v>10</v>
      </c>
      <c r="L20" s="127" t="s">
        <v>11</v>
      </c>
      <c r="M20" s="5" t="s">
        <v>12</v>
      </c>
      <c r="N20" s="129" t="s">
        <v>13</v>
      </c>
      <c r="O20" s="63"/>
      <c r="P20" s="131" t="s">
        <v>14</v>
      </c>
      <c r="Q20" s="133" t="s">
        <v>15</v>
      </c>
      <c r="R20" s="146" t="s">
        <v>77</v>
      </c>
    </row>
    <row r="21" spans="1:18" ht="15.6" x14ac:dyDescent="0.3">
      <c r="A21" s="126"/>
      <c r="B21" s="128"/>
      <c r="C21" s="128"/>
      <c r="D21" s="7" t="s">
        <v>16</v>
      </c>
      <c r="E21" s="130"/>
      <c r="F21" s="6"/>
      <c r="G21" s="132"/>
      <c r="H21" s="134"/>
      <c r="I21" s="153"/>
      <c r="J21" s="126"/>
      <c r="K21" s="128"/>
      <c r="L21" s="128"/>
      <c r="M21" s="7" t="s">
        <v>16</v>
      </c>
      <c r="N21" s="130"/>
      <c r="O21" s="6"/>
      <c r="P21" s="132"/>
      <c r="Q21" s="134"/>
      <c r="R21" s="147"/>
    </row>
    <row r="22" spans="1:18" ht="15.6" x14ac:dyDescent="0.3">
      <c r="A22" s="8">
        <v>1</v>
      </c>
      <c r="B22" s="9" t="s">
        <v>76</v>
      </c>
      <c r="C22" s="10">
        <f>V96</f>
        <v>420</v>
      </c>
      <c r="D22" s="10">
        <f>W96</f>
        <v>1000</v>
      </c>
      <c r="E22" s="11">
        <f>C22/D22</f>
        <v>0.42</v>
      </c>
      <c r="F22" s="6"/>
      <c r="G22" s="12">
        <v>18</v>
      </c>
      <c r="H22" s="13">
        <f>G22*E22</f>
        <v>7.56</v>
      </c>
      <c r="I22" s="64"/>
      <c r="J22" s="8">
        <v>1</v>
      </c>
      <c r="K22" s="9" t="s">
        <v>76</v>
      </c>
      <c r="L22" s="10">
        <f>V96</f>
        <v>420</v>
      </c>
      <c r="M22" s="10">
        <f>W96</f>
        <v>1000</v>
      </c>
      <c r="N22" s="11">
        <f t="shared" ref="N22:N28" si="4">L22/M22</f>
        <v>0.42</v>
      </c>
      <c r="O22" s="6"/>
      <c r="P22" s="12">
        <v>18</v>
      </c>
      <c r="Q22" s="13">
        <f t="shared" ref="Q22:Q28" si="5">P22*N22</f>
        <v>7.56</v>
      </c>
      <c r="R22" s="64"/>
    </row>
    <row r="23" spans="1:18" ht="15.6" x14ac:dyDescent="0.3">
      <c r="A23" s="8">
        <v>2</v>
      </c>
      <c r="B23" s="9" t="s">
        <v>28</v>
      </c>
      <c r="C23" s="10">
        <v>100</v>
      </c>
      <c r="D23" s="10">
        <v>50</v>
      </c>
      <c r="E23" s="14">
        <f>C23/D23</f>
        <v>2</v>
      </c>
      <c r="F23" s="6"/>
      <c r="G23" s="12">
        <v>1</v>
      </c>
      <c r="H23" s="15">
        <f>G23*E23</f>
        <v>2</v>
      </c>
      <c r="I23" s="64"/>
      <c r="J23" s="8">
        <v>2</v>
      </c>
      <c r="K23" s="9" t="s">
        <v>28</v>
      </c>
      <c r="L23" s="10">
        <v>100</v>
      </c>
      <c r="M23" s="10">
        <v>50</v>
      </c>
      <c r="N23" s="14">
        <f t="shared" si="4"/>
        <v>2</v>
      </c>
      <c r="O23" s="6"/>
      <c r="P23" s="12">
        <v>1</v>
      </c>
      <c r="Q23" s="15">
        <f t="shared" si="5"/>
        <v>2</v>
      </c>
      <c r="R23" s="64"/>
    </row>
    <row r="24" spans="1:18" ht="15.6" x14ac:dyDescent="0.3">
      <c r="A24" s="8">
        <v>3</v>
      </c>
      <c r="B24" s="9" t="s">
        <v>29</v>
      </c>
      <c r="C24" s="10">
        <v>19</v>
      </c>
      <c r="D24" s="10">
        <v>100</v>
      </c>
      <c r="E24" s="14">
        <f>C24/D24</f>
        <v>0.19</v>
      </c>
      <c r="F24" s="6"/>
      <c r="G24" s="12">
        <v>1</v>
      </c>
      <c r="H24" s="13">
        <f>G24*E24</f>
        <v>0.19</v>
      </c>
      <c r="I24" s="64"/>
      <c r="J24" s="8">
        <v>3</v>
      </c>
      <c r="K24" s="9" t="s">
        <v>29</v>
      </c>
      <c r="L24" s="10">
        <v>19</v>
      </c>
      <c r="M24" s="10">
        <v>100</v>
      </c>
      <c r="N24" s="14">
        <f t="shared" si="4"/>
        <v>0.19</v>
      </c>
      <c r="O24" s="6"/>
      <c r="P24" s="12">
        <v>1</v>
      </c>
      <c r="Q24" s="13">
        <f t="shared" si="5"/>
        <v>0.19</v>
      </c>
      <c r="R24" s="64"/>
    </row>
    <row r="25" spans="1:18" ht="15.6" x14ac:dyDescent="0.3">
      <c r="A25" s="8">
        <v>4</v>
      </c>
      <c r="B25" s="9" t="s">
        <v>120</v>
      </c>
      <c r="C25" s="10">
        <v>7.5</v>
      </c>
      <c r="D25" s="10">
        <v>325</v>
      </c>
      <c r="E25" s="14">
        <f>C25/D25</f>
        <v>2.3076923076923078E-2</v>
      </c>
      <c r="F25" s="6"/>
      <c r="G25" s="12">
        <v>100</v>
      </c>
      <c r="H25" s="13">
        <f>G25*E25</f>
        <v>2.3076923076923079</v>
      </c>
      <c r="I25" s="64"/>
      <c r="J25" s="8">
        <v>4</v>
      </c>
      <c r="K25" s="9" t="s">
        <v>61</v>
      </c>
      <c r="L25" s="10">
        <v>98</v>
      </c>
      <c r="M25" s="10">
        <v>2000</v>
      </c>
      <c r="N25" s="14">
        <f t="shared" si="4"/>
        <v>4.9000000000000002E-2</v>
      </c>
      <c r="O25" s="6"/>
      <c r="P25" s="12">
        <v>100</v>
      </c>
      <c r="Q25" s="13">
        <f t="shared" si="5"/>
        <v>4.9000000000000004</v>
      </c>
      <c r="R25" s="64"/>
    </row>
    <row r="26" spans="1:18" ht="15.6" x14ac:dyDescent="0.3">
      <c r="A26" s="8">
        <v>5</v>
      </c>
      <c r="B26" s="9" t="s">
        <v>149</v>
      </c>
      <c r="C26" s="10">
        <v>219</v>
      </c>
      <c r="D26" s="10">
        <v>1000</v>
      </c>
      <c r="E26" s="14">
        <f>C26/D26</f>
        <v>0.219</v>
      </c>
      <c r="F26" s="6"/>
      <c r="G26" s="12">
        <v>25</v>
      </c>
      <c r="H26" s="13">
        <f>G26*E26</f>
        <v>5.4749999999999996</v>
      </c>
      <c r="I26" s="64"/>
      <c r="J26" s="8">
        <v>5</v>
      </c>
      <c r="K26" s="9" t="s">
        <v>144</v>
      </c>
      <c r="L26" s="10">
        <v>55</v>
      </c>
      <c r="M26" s="10">
        <v>1000</v>
      </c>
      <c r="N26" s="14">
        <f t="shared" si="4"/>
        <v>5.5E-2</v>
      </c>
      <c r="O26" s="6"/>
      <c r="P26" s="12">
        <v>40</v>
      </c>
      <c r="Q26" s="13">
        <f t="shared" si="5"/>
        <v>2.2000000000000002</v>
      </c>
      <c r="R26" s="64"/>
    </row>
    <row r="27" spans="1:18" ht="15.6" x14ac:dyDescent="0.3">
      <c r="A27" s="8">
        <v>6</v>
      </c>
      <c r="B27" s="9"/>
      <c r="C27" s="10"/>
      <c r="D27" s="10"/>
      <c r="E27" s="14"/>
      <c r="F27" s="6"/>
      <c r="G27" s="12"/>
      <c r="H27" s="13"/>
      <c r="I27" s="64"/>
      <c r="J27" s="8">
        <v>6</v>
      </c>
      <c r="K27" s="9" t="s">
        <v>145</v>
      </c>
      <c r="L27" s="10">
        <v>118</v>
      </c>
      <c r="M27" s="10">
        <v>2000</v>
      </c>
      <c r="N27" s="14">
        <f t="shared" si="4"/>
        <v>5.8999999999999997E-2</v>
      </c>
      <c r="O27" s="6"/>
      <c r="P27" s="12">
        <v>30</v>
      </c>
      <c r="Q27" s="13">
        <f t="shared" si="5"/>
        <v>1.77</v>
      </c>
      <c r="R27" s="64"/>
    </row>
    <row r="28" spans="1:18" ht="15.6" x14ac:dyDescent="0.3">
      <c r="A28" s="8">
        <v>7</v>
      </c>
      <c r="B28" s="9"/>
      <c r="C28" s="10"/>
      <c r="D28" s="10"/>
      <c r="E28" s="14"/>
      <c r="F28" s="6"/>
      <c r="G28" s="12"/>
      <c r="H28" s="13"/>
      <c r="I28" s="64"/>
      <c r="J28" s="8">
        <v>7</v>
      </c>
      <c r="K28" s="9"/>
      <c r="L28" s="10">
        <v>390</v>
      </c>
      <c r="M28" s="10">
        <v>700</v>
      </c>
      <c r="N28" s="14">
        <f t="shared" si="4"/>
        <v>0.55714285714285716</v>
      </c>
      <c r="O28" s="6"/>
      <c r="P28" s="12">
        <v>10</v>
      </c>
      <c r="Q28" s="13">
        <f t="shared" si="5"/>
        <v>5.5714285714285712</v>
      </c>
      <c r="R28" s="64"/>
    </row>
    <row r="29" spans="1:18" ht="15.6" x14ac:dyDescent="0.3">
      <c r="A29" s="8">
        <v>8</v>
      </c>
      <c r="B29" s="9"/>
      <c r="C29" s="10"/>
      <c r="D29" s="10"/>
      <c r="E29" s="14"/>
      <c r="F29" s="6"/>
      <c r="G29" s="12"/>
      <c r="H29" s="13"/>
      <c r="I29" s="64"/>
      <c r="J29" s="8">
        <v>8</v>
      </c>
      <c r="K29" s="9"/>
      <c r="L29" s="10"/>
      <c r="M29" s="10"/>
      <c r="N29" s="14"/>
      <c r="O29" s="6"/>
      <c r="P29" s="12"/>
      <c r="Q29" s="13"/>
      <c r="R29" s="64"/>
    </row>
    <row r="30" spans="1:18" ht="15.6" x14ac:dyDescent="0.3">
      <c r="A30" s="8">
        <v>9</v>
      </c>
      <c r="B30" s="9"/>
      <c r="C30" s="10"/>
      <c r="D30" s="10"/>
      <c r="E30" s="14"/>
      <c r="F30" s="6"/>
      <c r="G30" s="12"/>
      <c r="H30" s="13"/>
      <c r="I30" s="64"/>
      <c r="J30" s="8">
        <v>9</v>
      </c>
      <c r="K30" s="9"/>
      <c r="L30" s="10"/>
      <c r="M30" s="10"/>
      <c r="N30" s="14"/>
      <c r="O30" s="6"/>
      <c r="P30" s="12"/>
      <c r="Q30" s="13"/>
      <c r="R30" s="64"/>
    </row>
    <row r="31" spans="1:18" ht="16.2" thickBot="1" x14ac:dyDescent="0.35">
      <c r="A31" s="16">
        <v>10</v>
      </c>
      <c r="B31" s="17"/>
      <c r="C31" s="18"/>
      <c r="D31" s="18"/>
      <c r="E31" s="19"/>
      <c r="F31" s="6"/>
      <c r="G31" s="12"/>
      <c r="H31" s="13"/>
      <c r="I31" s="64"/>
      <c r="J31" s="16">
        <v>10</v>
      </c>
      <c r="K31" s="17"/>
      <c r="L31" s="18"/>
      <c r="M31" s="18"/>
      <c r="N31" s="19"/>
      <c r="O31" s="6"/>
      <c r="P31" s="12"/>
      <c r="Q31" s="13"/>
      <c r="R31" s="64"/>
    </row>
    <row r="32" spans="1:18" ht="16.2" thickBot="1" x14ac:dyDescent="0.35">
      <c r="A32" s="65"/>
      <c r="B32" s="6"/>
      <c r="C32" s="6"/>
      <c r="D32" s="6"/>
      <c r="E32" s="6"/>
      <c r="F32" s="6"/>
      <c r="G32" s="20" t="s">
        <v>18</v>
      </c>
      <c r="H32" s="73">
        <f>SUM(H22:H31)</f>
        <v>17.532692307692308</v>
      </c>
      <c r="I32" s="64"/>
      <c r="J32" s="65"/>
      <c r="K32" s="6"/>
      <c r="L32" s="6"/>
      <c r="M32" s="6"/>
      <c r="N32" s="6"/>
      <c r="O32" s="6"/>
      <c r="P32" s="20" t="s">
        <v>18</v>
      </c>
      <c r="Q32" s="73">
        <f>SUM(Q22:Q31)</f>
        <v>24.191428571428567</v>
      </c>
      <c r="R32" s="64"/>
    </row>
    <row r="33" spans="1:18" ht="16.2" thickBot="1" x14ac:dyDescent="0.35">
      <c r="A33" s="65"/>
      <c r="B33" s="6"/>
      <c r="C33" s="6"/>
      <c r="D33" s="6"/>
      <c r="E33" s="6"/>
      <c r="F33" s="6"/>
      <c r="G33" s="22"/>
      <c r="H33" s="30"/>
      <c r="I33" s="64"/>
      <c r="J33" s="65"/>
      <c r="K33" s="6"/>
      <c r="L33" s="6"/>
      <c r="M33" s="6"/>
      <c r="N33" s="6"/>
      <c r="O33" s="6"/>
      <c r="P33" s="22"/>
      <c r="Q33" s="23"/>
      <c r="R33" s="64"/>
    </row>
    <row r="34" spans="1:18" ht="15.6" x14ac:dyDescent="0.3">
      <c r="A34" s="110" t="s">
        <v>19</v>
      </c>
      <c r="B34" s="111"/>
      <c r="C34" s="111"/>
      <c r="D34" s="111"/>
      <c r="E34" s="111"/>
      <c r="F34" s="111"/>
      <c r="G34" s="111"/>
      <c r="H34" s="112"/>
      <c r="I34" s="64"/>
      <c r="J34" s="110" t="s">
        <v>19</v>
      </c>
      <c r="K34" s="111"/>
      <c r="L34" s="111"/>
      <c r="M34" s="111"/>
      <c r="N34" s="111"/>
      <c r="O34" s="111"/>
      <c r="P34" s="111"/>
      <c r="Q34" s="112"/>
      <c r="R34" s="64"/>
    </row>
    <row r="35" spans="1:18" ht="15.6" x14ac:dyDescent="0.3">
      <c r="A35" s="113" t="s">
        <v>20</v>
      </c>
      <c r="B35" s="114"/>
      <c r="C35" s="115"/>
      <c r="D35" s="150">
        <f>H32</f>
        <v>17.532692307692308</v>
      </c>
      <c r="E35" s="151"/>
      <c r="F35" s="117" t="s">
        <v>21</v>
      </c>
      <c r="G35" s="118"/>
      <c r="H35" s="71">
        <f>D35*30%+D35</f>
        <v>22.7925</v>
      </c>
      <c r="I35" s="64"/>
      <c r="J35" s="113" t="s">
        <v>20</v>
      </c>
      <c r="K35" s="114"/>
      <c r="L35" s="115"/>
      <c r="M35" s="116">
        <f>Q32</f>
        <v>24.191428571428567</v>
      </c>
      <c r="N35" s="116"/>
      <c r="O35" s="117" t="s">
        <v>21</v>
      </c>
      <c r="P35" s="118"/>
      <c r="Q35" s="71">
        <f>M35*30%+M35</f>
        <v>31.448857142857136</v>
      </c>
      <c r="R35" s="64"/>
    </row>
    <row r="36" spans="1:18" ht="16.2" thickBot="1" x14ac:dyDescent="0.35">
      <c r="A36" s="119" t="s">
        <v>22</v>
      </c>
      <c r="B36" s="120"/>
      <c r="C36" s="121"/>
      <c r="D36" s="148">
        <f>H35</f>
        <v>22.7925</v>
      </c>
      <c r="E36" s="149"/>
      <c r="F36" s="123">
        <v>1.6</v>
      </c>
      <c r="G36" s="124"/>
      <c r="H36" s="25">
        <f>D36*F36</f>
        <v>36.468000000000004</v>
      </c>
      <c r="I36" s="66"/>
      <c r="J36" s="119" t="s">
        <v>22</v>
      </c>
      <c r="K36" s="120"/>
      <c r="L36" s="121"/>
      <c r="M36" s="122">
        <f>Q35</f>
        <v>31.448857142857136</v>
      </c>
      <c r="N36" s="122"/>
      <c r="O36" s="123">
        <v>1.6</v>
      </c>
      <c r="P36" s="124"/>
      <c r="Q36" s="25">
        <f>M36*O36</f>
        <v>50.318171428571418</v>
      </c>
      <c r="R36" s="66"/>
    </row>
    <row r="38" spans="1:18" ht="15" thickBot="1" x14ac:dyDescent="0.35"/>
    <row r="39" spans="1:18" ht="15.6" x14ac:dyDescent="0.3">
      <c r="A39" s="125" t="s">
        <v>9</v>
      </c>
      <c r="B39" s="127" t="s">
        <v>10</v>
      </c>
      <c r="C39" s="127" t="s">
        <v>11</v>
      </c>
      <c r="D39" s="5" t="s">
        <v>12</v>
      </c>
      <c r="E39" s="129" t="s">
        <v>13</v>
      </c>
      <c r="F39" s="63"/>
      <c r="G39" s="131" t="s">
        <v>14</v>
      </c>
      <c r="H39" s="133" t="s">
        <v>15</v>
      </c>
      <c r="I39" s="152" t="s">
        <v>72</v>
      </c>
      <c r="J39" s="125" t="s">
        <v>9</v>
      </c>
      <c r="K39" s="127" t="s">
        <v>10</v>
      </c>
      <c r="L39" s="127" t="s">
        <v>11</v>
      </c>
      <c r="M39" s="5" t="s">
        <v>12</v>
      </c>
      <c r="N39" s="129" t="s">
        <v>13</v>
      </c>
      <c r="O39" s="63"/>
      <c r="P39" s="131" t="s">
        <v>14</v>
      </c>
      <c r="Q39" s="133" t="s">
        <v>15</v>
      </c>
      <c r="R39" s="146" t="s">
        <v>38</v>
      </c>
    </row>
    <row r="40" spans="1:18" ht="15.6" x14ac:dyDescent="0.3">
      <c r="A40" s="126"/>
      <c r="B40" s="128"/>
      <c r="C40" s="128"/>
      <c r="D40" s="7" t="s">
        <v>16</v>
      </c>
      <c r="E40" s="130"/>
      <c r="F40" s="6"/>
      <c r="G40" s="132"/>
      <c r="H40" s="134"/>
      <c r="I40" s="153"/>
      <c r="J40" s="126"/>
      <c r="K40" s="128"/>
      <c r="L40" s="128"/>
      <c r="M40" s="7" t="s">
        <v>16</v>
      </c>
      <c r="N40" s="130"/>
      <c r="O40" s="6"/>
      <c r="P40" s="132"/>
      <c r="Q40" s="134"/>
      <c r="R40" s="147"/>
    </row>
    <row r="41" spans="1:18" ht="15.6" x14ac:dyDescent="0.3">
      <c r="A41" s="8">
        <v>1</v>
      </c>
      <c r="B41" s="9" t="s">
        <v>76</v>
      </c>
      <c r="C41" s="10">
        <f>V96</f>
        <v>420</v>
      </c>
      <c r="D41" s="10">
        <f>W96</f>
        <v>1000</v>
      </c>
      <c r="E41" s="11">
        <f>C41/D41</f>
        <v>0.42</v>
      </c>
      <c r="F41" s="6"/>
      <c r="G41" s="12">
        <v>18</v>
      </c>
      <c r="H41" s="13">
        <f>G41*E41</f>
        <v>7.56</v>
      </c>
      <c r="I41" s="64"/>
      <c r="J41" s="8">
        <v>1</v>
      </c>
      <c r="K41" s="9" t="s">
        <v>76</v>
      </c>
      <c r="L41" s="10">
        <f>V96</f>
        <v>420</v>
      </c>
      <c r="M41" s="10">
        <f>W96</f>
        <v>1000</v>
      </c>
      <c r="N41" s="11">
        <f t="shared" ref="N41:N45" si="6">L41/M41</f>
        <v>0.42</v>
      </c>
      <c r="O41" s="6"/>
      <c r="P41" s="12">
        <v>18</v>
      </c>
      <c r="Q41" s="13">
        <f t="shared" ref="Q41:Q45" si="7">P41*N41</f>
        <v>7.56</v>
      </c>
      <c r="R41" s="64"/>
    </row>
    <row r="42" spans="1:18" ht="15.6" x14ac:dyDescent="0.3">
      <c r="A42" s="8">
        <v>2</v>
      </c>
      <c r="B42" s="9" t="s">
        <v>35</v>
      </c>
      <c r="C42" s="10">
        <v>100</v>
      </c>
      <c r="D42" s="10">
        <v>50</v>
      </c>
      <c r="E42" s="14">
        <f>C42/D42</f>
        <v>2</v>
      </c>
      <c r="F42" s="6"/>
      <c r="G42" s="12">
        <v>1</v>
      </c>
      <c r="H42" s="15">
        <f>G42*E42</f>
        <v>2</v>
      </c>
      <c r="I42" s="64"/>
      <c r="J42" s="8">
        <v>2</v>
      </c>
      <c r="K42" s="9" t="s">
        <v>28</v>
      </c>
      <c r="L42" s="10">
        <v>100</v>
      </c>
      <c r="M42" s="10">
        <v>50</v>
      </c>
      <c r="N42" s="14">
        <f t="shared" si="6"/>
        <v>2</v>
      </c>
      <c r="O42" s="6"/>
      <c r="P42" s="12">
        <v>1</v>
      </c>
      <c r="Q42" s="15">
        <f t="shared" si="7"/>
        <v>2</v>
      </c>
      <c r="R42" s="64"/>
    </row>
    <row r="43" spans="1:18" ht="15.6" x14ac:dyDescent="0.3">
      <c r="A43" s="8">
        <v>3</v>
      </c>
      <c r="B43" s="9" t="s">
        <v>29</v>
      </c>
      <c r="C43" s="10">
        <v>19</v>
      </c>
      <c r="D43" s="10">
        <v>100</v>
      </c>
      <c r="E43" s="14">
        <f>C43/D43</f>
        <v>0.19</v>
      </c>
      <c r="F43" s="6"/>
      <c r="G43" s="12">
        <v>1</v>
      </c>
      <c r="H43" s="13">
        <f>G43*E43</f>
        <v>0.19</v>
      </c>
      <c r="I43" s="64"/>
      <c r="J43" s="8">
        <v>3</v>
      </c>
      <c r="K43" s="9" t="s">
        <v>29</v>
      </c>
      <c r="L43" s="10">
        <v>19</v>
      </c>
      <c r="M43" s="10">
        <v>100</v>
      </c>
      <c r="N43" s="14">
        <f t="shared" si="6"/>
        <v>0.19</v>
      </c>
      <c r="O43" s="6"/>
      <c r="P43" s="12">
        <v>1</v>
      </c>
      <c r="Q43" s="13">
        <f t="shared" si="7"/>
        <v>0.19</v>
      </c>
      <c r="R43" s="64"/>
    </row>
    <row r="44" spans="1:18" ht="15.6" x14ac:dyDescent="0.3">
      <c r="A44" s="8">
        <v>4</v>
      </c>
      <c r="B44" s="9" t="s">
        <v>34</v>
      </c>
      <c r="C44" s="10">
        <v>4.5999999999999996</v>
      </c>
      <c r="D44" s="10">
        <v>1500</v>
      </c>
      <c r="E44" s="14">
        <f>C44/D44</f>
        <v>3.0666666666666663E-3</v>
      </c>
      <c r="F44" s="6"/>
      <c r="G44" s="12">
        <v>100</v>
      </c>
      <c r="H44" s="13">
        <f>G44*E44</f>
        <v>0.30666666666666664</v>
      </c>
      <c r="I44" s="64"/>
      <c r="J44" s="8">
        <v>4</v>
      </c>
      <c r="K44" s="9" t="s">
        <v>61</v>
      </c>
      <c r="L44" s="10">
        <v>115</v>
      </c>
      <c r="M44" s="10">
        <v>1000</v>
      </c>
      <c r="N44" s="14">
        <f t="shared" si="6"/>
        <v>0.115</v>
      </c>
      <c r="O44" s="6"/>
      <c r="P44" s="12">
        <v>120</v>
      </c>
      <c r="Q44" s="13">
        <f t="shared" si="7"/>
        <v>13.8</v>
      </c>
      <c r="R44" s="64">
        <v>55</v>
      </c>
    </row>
    <row r="45" spans="1:18" ht="15.6" x14ac:dyDescent="0.3">
      <c r="A45" s="8">
        <v>5</v>
      </c>
      <c r="B45" s="9" t="s">
        <v>147</v>
      </c>
      <c r="C45" s="10">
        <v>150</v>
      </c>
      <c r="D45" s="10">
        <v>1000</v>
      </c>
      <c r="E45" s="14">
        <f>C45/D45</f>
        <v>0.15</v>
      </c>
      <c r="F45" s="6"/>
      <c r="G45" s="12">
        <v>30</v>
      </c>
      <c r="H45" s="13">
        <f>G45*E45</f>
        <v>4.5</v>
      </c>
      <c r="I45" s="64"/>
      <c r="J45" s="8">
        <v>5</v>
      </c>
      <c r="K45" s="9" t="s">
        <v>145</v>
      </c>
      <c r="L45" s="10">
        <v>118</v>
      </c>
      <c r="M45" s="10">
        <v>2000</v>
      </c>
      <c r="N45" s="14">
        <f t="shared" si="6"/>
        <v>5.8999999999999997E-2</v>
      </c>
      <c r="O45" s="6"/>
      <c r="P45" s="12">
        <v>20</v>
      </c>
      <c r="Q45" s="13">
        <f t="shared" si="7"/>
        <v>1.18</v>
      </c>
      <c r="R45" s="64">
        <v>28.41</v>
      </c>
    </row>
    <row r="46" spans="1:18" ht="15.6" x14ac:dyDescent="0.3">
      <c r="A46" s="8">
        <v>6</v>
      </c>
      <c r="B46" s="9"/>
      <c r="C46" s="10"/>
      <c r="D46" s="10"/>
      <c r="E46" s="14"/>
      <c r="F46" s="6"/>
      <c r="G46" s="12"/>
      <c r="H46" s="13"/>
      <c r="I46" s="64"/>
      <c r="J46" s="8">
        <v>6</v>
      </c>
      <c r="K46" s="9"/>
      <c r="L46" s="10"/>
      <c r="M46" s="10"/>
      <c r="N46" s="14"/>
      <c r="O46" s="6"/>
      <c r="P46" s="12"/>
      <c r="Q46" s="13"/>
      <c r="R46" s="64">
        <f>R44-R45</f>
        <v>26.59</v>
      </c>
    </row>
    <row r="47" spans="1:18" ht="15.6" x14ac:dyDescent="0.3">
      <c r="A47" s="8">
        <v>7</v>
      </c>
      <c r="B47" s="9"/>
      <c r="C47" s="10"/>
      <c r="D47" s="10"/>
      <c r="E47" s="14"/>
      <c r="F47" s="6"/>
      <c r="G47" s="12"/>
      <c r="H47" s="13"/>
      <c r="I47" s="64"/>
      <c r="J47" s="8">
        <v>7</v>
      </c>
      <c r="K47" s="9"/>
      <c r="L47" s="10"/>
      <c r="M47" s="10"/>
      <c r="N47" s="14"/>
      <c r="O47" s="6"/>
      <c r="P47" s="12"/>
      <c r="Q47" s="13"/>
      <c r="R47" s="64"/>
    </row>
    <row r="48" spans="1:18" ht="15.6" x14ac:dyDescent="0.3">
      <c r="A48" s="8">
        <v>8</v>
      </c>
      <c r="B48" s="9"/>
      <c r="C48" s="10"/>
      <c r="D48" s="10"/>
      <c r="E48" s="14"/>
      <c r="F48" s="6"/>
      <c r="G48" s="12"/>
      <c r="H48" s="13"/>
      <c r="I48" s="64"/>
      <c r="J48" s="8">
        <v>8</v>
      </c>
      <c r="K48" s="9"/>
      <c r="L48" s="10"/>
      <c r="M48" s="10"/>
      <c r="N48" s="14"/>
      <c r="O48" s="6"/>
      <c r="P48" s="12"/>
      <c r="Q48" s="13"/>
      <c r="R48" s="64">
        <v>70</v>
      </c>
    </row>
    <row r="49" spans="1:18" ht="15.6" x14ac:dyDescent="0.3">
      <c r="A49" s="8">
        <v>9</v>
      </c>
      <c r="B49" s="9"/>
      <c r="C49" s="10"/>
      <c r="D49" s="10"/>
      <c r="E49" s="14"/>
      <c r="F49" s="6"/>
      <c r="G49" s="12"/>
      <c r="H49" s="13"/>
      <c r="I49" s="64"/>
      <c r="J49" s="8">
        <v>9</v>
      </c>
      <c r="K49" s="9"/>
      <c r="L49" s="10"/>
      <c r="M49" s="10"/>
      <c r="N49" s="14"/>
      <c r="O49" s="6"/>
      <c r="P49" s="12"/>
      <c r="Q49" s="13"/>
      <c r="R49" s="64">
        <v>38.700000000000003</v>
      </c>
    </row>
    <row r="50" spans="1:18" ht="16.2" thickBot="1" x14ac:dyDescent="0.35">
      <c r="A50" s="16">
        <v>10</v>
      </c>
      <c r="B50" s="17"/>
      <c r="C50" s="18"/>
      <c r="D50" s="18"/>
      <c r="E50" s="19"/>
      <c r="F50" s="6"/>
      <c r="G50" s="12"/>
      <c r="H50" s="13"/>
      <c r="I50" s="68"/>
      <c r="J50" s="16">
        <v>10</v>
      </c>
      <c r="K50" s="17"/>
      <c r="L50" s="18"/>
      <c r="M50" s="18"/>
      <c r="N50" s="19"/>
      <c r="O50" s="6"/>
      <c r="P50" s="12"/>
      <c r="Q50" s="13"/>
      <c r="R50" s="64">
        <f>R48-R49</f>
        <v>31.299999999999997</v>
      </c>
    </row>
    <row r="51" spans="1:18" ht="16.2" thickBot="1" x14ac:dyDescent="0.35">
      <c r="A51" s="65"/>
      <c r="B51" s="6"/>
      <c r="C51" s="6"/>
      <c r="D51" s="6"/>
      <c r="E51" s="6"/>
      <c r="F51" s="6"/>
      <c r="G51" s="20" t="s">
        <v>18</v>
      </c>
      <c r="H51" s="73">
        <f>SUM(H41:H50)</f>
        <v>14.556666666666665</v>
      </c>
      <c r="I51" s="64"/>
      <c r="J51" s="65"/>
      <c r="K51" s="6"/>
      <c r="L51" s="6"/>
      <c r="M51" s="6"/>
      <c r="N51" s="6"/>
      <c r="O51" s="6"/>
      <c r="P51" s="20" t="s">
        <v>18</v>
      </c>
      <c r="Q51" s="73">
        <f>SUM(Q41:Q50)</f>
        <v>24.729999999999997</v>
      </c>
      <c r="R51" s="64"/>
    </row>
    <row r="52" spans="1:18" ht="16.2" thickBot="1" x14ac:dyDescent="0.35">
      <c r="A52" s="65"/>
      <c r="B52" s="6"/>
      <c r="C52" s="6"/>
      <c r="D52" s="6"/>
      <c r="E52" s="6"/>
      <c r="F52" s="6"/>
      <c r="G52" s="6"/>
      <c r="H52" s="6"/>
      <c r="I52" s="64"/>
      <c r="J52" s="65"/>
      <c r="K52" s="6"/>
      <c r="L52" s="6"/>
      <c r="M52" s="6"/>
      <c r="N52" s="6"/>
      <c r="O52" s="6"/>
      <c r="P52" s="6"/>
      <c r="Q52" s="6"/>
      <c r="R52" s="64"/>
    </row>
    <row r="53" spans="1:18" ht="15.6" x14ac:dyDescent="0.3">
      <c r="A53" s="110" t="s">
        <v>19</v>
      </c>
      <c r="B53" s="111"/>
      <c r="C53" s="111"/>
      <c r="D53" s="111"/>
      <c r="E53" s="111"/>
      <c r="F53" s="111"/>
      <c r="G53" s="111"/>
      <c r="H53" s="112"/>
      <c r="I53" s="68"/>
      <c r="J53" s="110" t="s">
        <v>19</v>
      </c>
      <c r="K53" s="111"/>
      <c r="L53" s="111"/>
      <c r="M53" s="111"/>
      <c r="N53" s="111"/>
      <c r="O53" s="111"/>
      <c r="P53" s="111"/>
      <c r="Q53" s="112"/>
      <c r="R53" s="64"/>
    </row>
    <row r="54" spans="1:18" ht="16.2" thickBot="1" x14ac:dyDescent="0.35">
      <c r="A54" s="119" t="s">
        <v>20</v>
      </c>
      <c r="B54" s="120"/>
      <c r="C54" s="121"/>
      <c r="D54" s="135">
        <f>H51</f>
        <v>14.556666666666665</v>
      </c>
      <c r="E54" s="136"/>
      <c r="F54" s="137" t="s">
        <v>21</v>
      </c>
      <c r="G54" s="138"/>
      <c r="H54" s="72">
        <f>D54*30%+D54</f>
        <v>18.923666666666662</v>
      </c>
      <c r="I54" s="68"/>
      <c r="J54" s="113" t="s">
        <v>20</v>
      </c>
      <c r="K54" s="114"/>
      <c r="L54" s="115"/>
      <c r="M54" s="116">
        <f>Q51</f>
        <v>24.729999999999997</v>
      </c>
      <c r="N54" s="116"/>
      <c r="O54" s="117" t="s">
        <v>21</v>
      </c>
      <c r="P54" s="118"/>
      <c r="Q54" s="71">
        <f>M54*30%+M54</f>
        <v>32.148999999999994</v>
      </c>
      <c r="R54" s="64"/>
    </row>
    <row r="55" spans="1:18" ht="16.2" thickBot="1" x14ac:dyDescent="0.35">
      <c r="A55" s="139" t="s">
        <v>22</v>
      </c>
      <c r="B55" s="140"/>
      <c r="C55" s="141"/>
      <c r="D55" s="142">
        <f>H54</f>
        <v>18.923666666666662</v>
      </c>
      <c r="E55" s="143"/>
      <c r="F55" s="144">
        <v>1.6</v>
      </c>
      <c r="G55" s="145"/>
      <c r="H55" s="67">
        <f>D55*F55</f>
        <v>30.277866666666661</v>
      </c>
      <c r="I55" s="69"/>
      <c r="J55" s="119" t="s">
        <v>22</v>
      </c>
      <c r="K55" s="120"/>
      <c r="L55" s="121"/>
      <c r="M55" s="122">
        <f>Q54</f>
        <v>32.148999999999994</v>
      </c>
      <c r="N55" s="122"/>
      <c r="O55" s="123">
        <v>1.6</v>
      </c>
      <c r="P55" s="124"/>
      <c r="Q55" s="25">
        <f>M55*O55</f>
        <v>51.438399999999994</v>
      </c>
      <c r="R55" s="66"/>
    </row>
    <row r="56" spans="1:18" ht="15.6" x14ac:dyDescent="0.3">
      <c r="J56" s="26"/>
      <c r="K56" s="26"/>
      <c r="L56" s="26"/>
      <c r="M56" s="27"/>
      <c r="N56" s="27"/>
      <c r="O56" s="22"/>
      <c r="P56" s="22"/>
      <c r="Q56" s="28"/>
      <c r="R56" s="6"/>
    </row>
    <row r="57" spans="1:18" ht="16.2" thickBot="1" x14ac:dyDescent="0.35">
      <c r="J57" s="6"/>
    </row>
    <row r="58" spans="1:18" ht="15.6" x14ac:dyDescent="0.3">
      <c r="A58" s="125" t="s">
        <v>9</v>
      </c>
      <c r="B58" s="127" t="s">
        <v>10</v>
      </c>
      <c r="C58" s="127" t="s">
        <v>11</v>
      </c>
      <c r="D58" s="5" t="s">
        <v>12</v>
      </c>
      <c r="E58" s="129" t="s">
        <v>13</v>
      </c>
      <c r="F58" s="63"/>
      <c r="G58" s="131" t="s">
        <v>14</v>
      </c>
      <c r="H58" s="133" t="s">
        <v>15</v>
      </c>
      <c r="I58" s="152" t="s">
        <v>74</v>
      </c>
      <c r="J58" s="125" t="s">
        <v>9</v>
      </c>
      <c r="K58" s="127" t="s">
        <v>10</v>
      </c>
      <c r="L58" s="127" t="s">
        <v>11</v>
      </c>
      <c r="M58" s="5" t="s">
        <v>12</v>
      </c>
      <c r="N58" s="129" t="s">
        <v>13</v>
      </c>
      <c r="O58" s="63"/>
      <c r="P58" s="131" t="s">
        <v>14</v>
      </c>
      <c r="Q58" s="133" t="s">
        <v>15</v>
      </c>
      <c r="R58" s="146" t="s">
        <v>127</v>
      </c>
    </row>
    <row r="59" spans="1:18" ht="15.6" x14ac:dyDescent="0.3">
      <c r="A59" s="126"/>
      <c r="B59" s="128"/>
      <c r="C59" s="128"/>
      <c r="D59" s="7" t="s">
        <v>16</v>
      </c>
      <c r="E59" s="130"/>
      <c r="F59" s="6"/>
      <c r="G59" s="132"/>
      <c r="H59" s="134"/>
      <c r="I59" s="153"/>
      <c r="J59" s="126"/>
      <c r="K59" s="128"/>
      <c r="L59" s="128"/>
      <c r="M59" s="7" t="s">
        <v>16</v>
      </c>
      <c r="N59" s="130"/>
      <c r="O59" s="6"/>
      <c r="P59" s="132"/>
      <c r="Q59" s="134"/>
      <c r="R59" s="147"/>
    </row>
    <row r="60" spans="1:18" ht="15.6" x14ac:dyDescent="0.3">
      <c r="A60" s="8">
        <v>1</v>
      </c>
      <c r="B60" s="9" t="s">
        <v>76</v>
      </c>
      <c r="C60" s="10">
        <f>V96</f>
        <v>420</v>
      </c>
      <c r="D60" s="10">
        <f>W96</f>
        <v>1000</v>
      </c>
      <c r="E60" s="11">
        <f t="shared" ref="E60:E66" si="8">C60/D60</f>
        <v>0.42</v>
      </c>
      <c r="F60" s="6"/>
      <c r="G60" s="12">
        <v>18</v>
      </c>
      <c r="H60" s="13">
        <f t="shared" ref="H60:H66" si="9">G60*E60</f>
        <v>7.56</v>
      </c>
      <c r="I60" s="64"/>
      <c r="J60" s="8">
        <v>1</v>
      </c>
      <c r="K60" s="9" t="s">
        <v>76</v>
      </c>
      <c r="L60" s="10">
        <f>V96</f>
        <v>420</v>
      </c>
      <c r="M60" s="10">
        <f>W96</f>
        <v>1000</v>
      </c>
      <c r="N60" s="11">
        <f t="shared" ref="N60:N65" si="10">L60/M60</f>
        <v>0.42</v>
      </c>
      <c r="O60" s="6"/>
      <c r="P60" s="12">
        <v>18</v>
      </c>
      <c r="Q60" s="13">
        <f t="shared" ref="Q60:Q65" si="11">P60*N60</f>
        <v>7.56</v>
      </c>
      <c r="R60" s="64"/>
    </row>
    <row r="61" spans="1:18" ht="15.6" x14ac:dyDescent="0.3">
      <c r="A61" s="8">
        <v>2</v>
      </c>
      <c r="B61" s="9" t="s">
        <v>35</v>
      </c>
      <c r="C61" s="10">
        <v>100</v>
      </c>
      <c r="D61" s="10">
        <v>50</v>
      </c>
      <c r="E61" s="14">
        <f t="shared" si="8"/>
        <v>2</v>
      </c>
      <c r="F61" s="6"/>
      <c r="G61" s="12">
        <v>1</v>
      </c>
      <c r="H61" s="15">
        <f t="shared" si="9"/>
        <v>2</v>
      </c>
      <c r="I61" s="64"/>
      <c r="J61" s="8">
        <v>2</v>
      </c>
      <c r="K61" s="9" t="s">
        <v>35</v>
      </c>
      <c r="L61" s="10">
        <v>100</v>
      </c>
      <c r="M61" s="10">
        <v>50</v>
      </c>
      <c r="N61" s="14">
        <f t="shared" si="10"/>
        <v>2</v>
      </c>
      <c r="O61" s="6"/>
      <c r="P61" s="12">
        <v>1</v>
      </c>
      <c r="Q61" s="15">
        <f t="shared" si="11"/>
        <v>2</v>
      </c>
      <c r="R61" s="64"/>
    </row>
    <row r="62" spans="1:18" ht="15.6" x14ac:dyDescent="0.3">
      <c r="A62" s="8">
        <v>3</v>
      </c>
      <c r="B62" s="9" t="s">
        <v>29</v>
      </c>
      <c r="C62" s="10">
        <v>19</v>
      </c>
      <c r="D62" s="10">
        <v>100</v>
      </c>
      <c r="E62" s="14">
        <f t="shared" si="8"/>
        <v>0.19</v>
      </c>
      <c r="F62" s="6"/>
      <c r="G62" s="12">
        <v>1</v>
      </c>
      <c r="H62" s="13">
        <f t="shared" si="9"/>
        <v>0.19</v>
      </c>
      <c r="I62" s="64"/>
      <c r="J62" s="8">
        <v>3</v>
      </c>
      <c r="K62" s="9" t="s">
        <v>29</v>
      </c>
      <c r="L62" s="10">
        <v>19</v>
      </c>
      <c r="M62" s="10">
        <v>100</v>
      </c>
      <c r="N62" s="14">
        <f t="shared" si="10"/>
        <v>0.19</v>
      </c>
      <c r="O62" s="6"/>
      <c r="P62" s="12">
        <v>1</v>
      </c>
      <c r="Q62" s="13">
        <f t="shared" si="11"/>
        <v>0.19</v>
      </c>
      <c r="R62" s="64"/>
    </row>
    <row r="63" spans="1:18" ht="15.6" x14ac:dyDescent="0.3">
      <c r="A63" s="8">
        <v>4</v>
      </c>
      <c r="B63" s="9" t="s">
        <v>34</v>
      </c>
      <c r="C63" s="10">
        <v>4.5999999999999996</v>
      </c>
      <c r="D63" s="10">
        <v>1500</v>
      </c>
      <c r="E63" s="14">
        <f t="shared" si="8"/>
        <v>3.0666666666666663E-3</v>
      </c>
      <c r="F63" s="6"/>
      <c r="G63" s="12">
        <v>100</v>
      </c>
      <c r="H63" s="13">
        <f t="shared" si="9"/>
        <v>0.30666666666666664</v>
      </c>
      <c r="I63" s="64"/>
      <c r="J63" s="8">
        <v>4</v>
      </c>
      <c r="K63" s="9" t="s">
        <v>61</v>
      </c>
      <c r="L63" s="10">
        <v>98</v>
      </c>
      <c r="M63" s="10">
        <v>2000</v>
      </c>
      <c r="N63" s="14">
        <f t="shared" si="10"/>
        <v>4.9000000000000002E-2</v>
      </c>
      <c r="O63" s="6"/>
      <c r="P63" s="12">
        <v>120</v>
      </c>
      <c r="Q63" s="13">
        <f t="shared" si="11"/>
        <v>5.88</v>
      </c>
      <c r="R63" s="64"/>
    </row>
    <row r="64" spans="1:18" ht="15.6" x14ac:dyDescent="0.3">
      <c r="A64" s="8">
        <v>5</v>
      </c>
      <c r="B64" s="9" t="s">
        <v>147</v>
      </c>
      <c r="C64" s="10">
        <v>150</v>
      </c>
      <c r="D64" s="10">
        <v>1000</v>
      </c>
      <c r="E64" s="14">
        <f t="shared" si="8"/>
        <v>0.15</v>
      </c>
      <c r="F64" s="6"/>
      <c r="G64" s="12">
        <v>30</v>
      </c>
      <c r="H64" s="13">
        <f t="shared" si="9"/>
        <v>4.5</v>
      </c>
      <c r="I64" s="64"/>
      <c r="J64" s="8">
        <v>5</v>
      </c>
      <c r="K64" s="9" t="s">
        <v>145</v>
      </c>
      <c r="L64" s="10">
        <v>118</v>
      </c>
      <c r="M64" s="10">
        <v>2000</v>
      </c>
      <c r="N64" s="14">
        <f t="shared" si="10"/>
        <v>5.8999999999999997E-2</v>
      </c>
      <c r="O64" s="6"/>
      <c r="P64" s="12">
        <v>5</v>
      </c>
      <c r="Q64" s="13">
        <f t="shared" si="11"/>
        <v>0.29499999999999998</v>
      </c>
      <c r="R64" s="64"/>
    </row>
    <row r="65" spans="1:18" ht="15.6" x14ac:dyDescent="0.3">
      <c r="A65" s="8">
        <v>6</v>
      </c>
      <c r="B65" s="9" t="s">
        <v>153</v>
      </c>
      <c r="C65" s="10">
        <v>27</v>
      </c>
      <c r="D65" s="10">
        <v>250</v>
      </c>
      <c r="E65" s="14">
        <f t="shared" si="8"/>
        <v>0.108</v>
      </c>
      <c r="F65" s="6"/>
      <c r="G65" s="12">
        <v>10</v>
      </c>
      <c r="H65" s="13">
        <f t="shared" si="9"/>
        <v>1.08</v>
      </c>
      <c r="I65" s="64"/>
      <c r="J65" s="8">
        <v>6</v>
      </c>
      <c r="K65" s="9" t="s">
        <v>154</v>
      </c>
      <c r="L65" s="10">
        <v>390</v>
      </c>
      <c r="M65" s="10">
        <v>700</v>
      </c>
      <c r="N65" s="14">
        <f t="shared" si="10"/>
        <v>0.55714285714285716</v>
      </c>
      <c r="O65" s="6"/>
      <c r="P65" s="12">
        <v>10</v>
      </c>
      <c r="Q65" s="13">
        <f t="shared" si="11"/>
        <v>5.5714285714285712</v>
      </c>
      <c r="R65" s="64"/>
    </row>
    <row r="66" spans="1:18" ht="15.6" x14ac:dyDescent="0.3">
      <c r="A66" s="8">
        <v>7</v>
      </c>
      <c r="B66" s="9" t="s">
        <v>198</v>
      </c>
      <c r="C66" s="10">
        <v>125</v>
      </c>
      <c r="D66" s="10">
        <v>740</v>
      </c>
      <c r="E66" s="14">
        <f t="shared" si="8"/>
        <v>0.16891891891891891</v>
      </c>
      <c r="F66" s="6"/>
      <c r="G66" s="12">
        <v>10</v>
      </c>
      <c r="H66" s="13">
        <f t="shared" si="9"/>
        <v>1.689189189189189</v>
      </c>
      <c r="I66" s="64"/>
      <c r="J66" s="8">
        <v>7</v>
      </c>
      <c r="K66" s="9"/>
      <c r="L66" s="10"/>
      <c r="M66" s="10"/>
      <c r="N66" s="14"/>
      <c r="O66" s="6"/>
      <c r="P66" s="12"/>
      <c r="Q66" s="13"/>
      <c r="R66" s="64"/>
    </row>
    <row r="67" spans="1:18" ht="15.6" x14ac:dyDescent="0.3">
      <c r="A67" s="8">
        <v>8</v>
      </c>
      <c r="B67" s="9"/>
      <c r="C67" s="10"/>
      <c r="D67" s="10"/>
      <c r="E67" s="14"/>
      <c r="F67" s="6"/>
      <c r="G67" s="12"/>
      <c r="H67" s="13"/>
      <c r="I67" s="64"/>
      <c r="J67" s="8">
        <v>8</v>
      </c>
      <c r="K67" s="9"/>
      <c r="L67" s="10"/>
      <c r="M67" s="10"/>
      <c r="N67" s="14"/>
      <c r="O67" s="6"/>
      <c r="P67" s="12"/>
      <c r="Q67" s="13"/>
      <c r="R67" s="64"/>
    </row>
    <row r="68" spans="1:18" ht="15.6" x14ac:dyDescent="0.3">
      <c r="A68" s="8">
        <v>9</v>
      </c>
      <c r="B68" s="9"/>
      <c r="C68" s="10"/>
      <c r="D68" s="10"/>
      <c r="E68" s="14"/>
      <c r="F68" s="6"/>
      <c r="G68" s="12"/>
      <c r="H68" s="13"/>
      <c r="I68" s="64"/>
      <c r="J68" s="8">
        <v>9</v>
      </c>
      <c r="K68" s="9"/>
      <c r="L68" s="10"/>
      <c r="M68" s="10"/>
      <c r="N68" s="14"/>
      <c r="O68" s="6"/>
      <c r="P68" s="12"/>
      <c r="Q68" s="13"/>
      <c r="R68" s="64"/>
    </row>
    <row r="69" spans="1:18" ht="16.2" thickBot="1" x14ac:dyDescent="0.35">
      <c r="A69" s="16">
        <v>10</v>
      </c>
      <c r="B69" s="17"/>
      <c r="C69" s="18"/>
      <c r="D69" s="18"/>
      <c r="E69" s="19"/>
      <c r="F69" s="6"/>
      <c r="G69" s="12"/>
      <c r="H69" s="13"/>
      <c r="I69" s="64"/>
      <c r="J69" s="16">
        <v>10</v>
      </c>
      <c r="K69" s="17"/>
      <c r="L69" s="18"/>
      <c r="M69" s="18"/>
      <c r="N69" s="19"/>
      <c r="O69" s="6"/>
      <c r="P69" s="12"/>
      <c r="Q69" s="13"/>
      <c r="R69" s="64"/>
    </row>
    <row r="70" spans="1:18" ht="16.2" thickBot="1" x14ac:dyDescent="0.35">
      <c r="A70" s="65"/>
      <c r="B70" s="6"/>
      <c r="C70" s="6"/>
      <c r="D70" s="6"/>
      <c r="E70" s="6"/>
      <c r="F70" s="6"/>
      <c r="G70" s="20" t="s">
        <v>18</v>
      </c>
      <c r="H70" s="73">
        <f>SUM(H60:H69)</f>
        <v>17.325855855855853</v>
      </c>
      <c r="I70" s="64"/>
      <c r="J70" s="65"/>
      <c r="K70" s="6"/>
      <c r="L70" s="6"/>
      <c r="M70" s="6"/>
      <c r="N70" s="6"/>
      <c r="O70" s="6"/>
      <c r="P70" s="20" t="s">
        <v>18</v>
      </c>
      <c r="Q70" s="73">
        <f>SUM(Q60:Q69)</f>
        <v>21.49642857142857</v>
      </c>
      <c r="R70" s="64"/>
    </row>
    <row r="71" spans="1:18" ht="16.2" thickBot="1" x14ac:dyDescent="0.35">
      <c r="A71" s="65"/>
      <c r="B71" s="6"/>
      <c r="C71" s="6"/>
      <c r="D71" s="6"/>
      <c r="E71" s="6"/>
      <c r="F71" s="6"/>
      <c r="G71" s="6"/>
      <c r="H71" s="6"/>
      <c r="I71" s="64"/>
      <c r="J71" s="65"/>
      <c r="K71" s="6"/>
      <c r="L71" s="6"/>
      <c r="M71" s="6"/>
      <c r="N71" s="6"/>
      <c r="O71" s="6"/>
      <c r="P71" s="6"/>
      <c r="Q71" s="6"/>
      <c r="R71" s="64"/>
    </row>
    <row r="72" spans="1:18" ht="15.6" x14ac:dyDescent="0.3">
      <c r="A72" s="110" t="s">
        <v>19</v>
      </c>
      <c r="B72" s="111"/>
      <c r="C72" s="111"/>
      <c r="D72" s="111"/>
      <c r="E72" s="111"/>
      <c r="F72" s="111"/>
      <c r="G72" s="111"/>
      <c r="H72" s="112"/>
      <c r="I72" s="64"/>
      <c r="J72" s="110" t="s">
        <v>19</v>
      </c>
      <c r="K72" s="111"/>
      <c r="L72" s="111"/>
      <c r="M72" s="111"/>
      <c r="N72" s="111"/>
      <c r="O72" s="111"/>
      <c r="P72" s="111"/>
      <c r="Q72" s="112"/>
      <c r="R72" s="64"/>
    </row>
    <row r="73" spans="1:18" ht="15.6" x14ac:dyDescent="0.3">
      <c r="A73" s="113" t="s">
        <v>20</v>
      </c>
      <c r="B73" s="114"/>
      <c r="C73" s="115"/>
      <c r="D73" s="150">
        <f>H70</f>
        <v>17.325855855855853</v>
      </c>
      <c r="E73" s="151"/>
      <c r="F73" s="117" t="s">
        <v>21</v>
      </c>
      <c r="G73" s="118"/>
      <c r="H73" s="71">
        <f>D73*30%+D73</f>
        <v>22.523612612612609</v>
      </c>
      <c r="I73" s="64"/>
      <c r="J73" s="113" t="s">
        <v>20</v>
      </c>
      <c r="K73" s="114"/>
      <c r="L73" s="115"/>
      <c r="M73" s="116">
        <f>Q70</f>
        <v>21.49642857142857</v>
      </c>
      <c r="N73" s="116"/>
      <c r="O73" s="117" t="s">
        <v>21</v>
      </c>
      <c r="P73" s="118"/>
      <c r="Q73" s="71">
        <f>M73*30%+M73</f>
        <v>27.945357142857141</v>
      </c>
      <c r="R73" s="64"/>
    </row>
    <row r="74" spans="1:18" ht="16.2" thickBot="1" x14ac:dyDescent="0.35">
      <c r="A74" s="119" t="s">
        <v>22</v>
      </c>
      <c r="B74" s="120"/>
      <c r="C74" s="121"/>
      <c r="D74" s="148">
        <f>H73</f>
        <v>22.523612612612609</v>
      </c>
      <c r="E74" s="149"/>
      <c r="F74" s="123">
        <v>1.6</v>
      </c>
      <c r="G74" s="124"/>
      <c r="H74" s="25">
        <f>D74*F74</f>
        <v>36.037780180180178</v>
      </c>
      <c r="I74" s="66"/>
      <c r="J74" s="119" t="s">
        <v>22</v>
      </c>
      <c r="K74" s="120"/>
      <c r="L74" s="121"/>
      <c r="M74" s="122">
        <f>Q73</f>
        <v>27.945357142857141</v>
      </c>
      <c r="N74" s="122"/>
      <c r="O74" s="123">
        <v>1.6</v>
      </c>
      <c r="P74" s="124"/>
      <c r="Q74" s="25">
        <f>M74*O74</f>
        <v>44.71257142857143</v>
      </c>
      <c r="R74" s="66"/>
    </row>
    <row r="75" spans="1:18" ht="15.6" x14ac:dyDescent="0.3">
      <c r="A75" s="26"/>
      <c r="B75" s="26"/>
      <c r="C75" s="26"/>
      <c r="D75" s="27"/>
      <c r="E75" s="27"/>
      <c r="F75" s="22"/>
      <c r="G75" s="22"/>
      <c r="H75" s="28"/>
      <c r="I75" s="6"/>
      <c r="J75" s="26"/>
      <c r="K75" s="26"/>
      <c r="L75" s="26"/>
      <c r="M75" s="27"/>
      <c r="N75" s="27"/>
      <c r="O75" s="22"/>
      <c r="P75" s="22"/>
      <c r="Q75" s="28"/>
      <c r="R75" s="6"/>
    </row>
    <row r="76" spans="1:18" ht="15" thickBot="1" x14ac:dyDescent="0.35"/>
    <row r="77" spans="1:18" ht="15.6" x14ac:dyDescent="0.3">
      <c r="A77" s="125" t="s">
        <v>9</v>
      </c>
      <c r="B77" s="127" t="s">
        <v>10</v>
      </c>
      <c r="C77" s="127" t="s">
        <v>11</v>
      </c>
      <c r="D77" s="5" t="s">
        <v>12</v>
      </c>
      <c r="E77" s="129" t="s">
        <v>13</v>
      </c>
      <c r="F77" s="63"/>
      <c r="G77" s="131" t="s">
        <v>14</v>
      </c>
      <c r="H77" s="133" t="s">
        <v>15</v>
      </c>
      <c r="I77" s="152" t="s">
        <v>182</v>
      </c>
      <c r="J77" s="125" t="s">
        <v>9</v>
      </c>
      <c r="K77" s="127" t="s">
        <v>10</v>
      </c>
      <c r="L77" s="127" t="s">
        <v>11</v>
      </c>
      <c r="M77" s="5" t="s">
        <v>12</v>
      </c>
      <c r="N77" s="129" t="s">
        <v>13</v>
      </c>
      <c r="O77" s="63"/>
      <c r="P77" s="131" t="s">
        <v>14</v>
      </c>
      <c r="Q77" s="133" t="s">
        <v>15</v>
      </c>
      <c r="R77" s="146" t="s">
        <v>110</v>
      </c>
    </row>
    <row r="78" spans="1:18" ht="15.6" x14ac:dyDescent="0.3">
      <c r="A78" s="126"/>
      <c r="B78" s="128"/>
      <c r="C78" s="128"/>
      <c r="D78" s="7" t="s">
        <v>16</v>
      </c>
      <c r="E78" s="130"/>
      <c r="F78" s="6"/>
      <c r="G78" s="132"/>
      <c r="H78" s="134"/>
      <c r="I78" s="153"/>
      <c r="J78" s="126"/>
      <c r="K78" s="128"/>
      <c r="L78" s="128"/>
      <c r="M78" s="7" t="s">
        <v>16</v>
      </c>
      <c r="N78" s="130"/>
      <c r="O78" s="6"/>
      <c r="P78" s="132"/>
      <c r="Q78" s="134"/>
      <c r="R78" s="147"/>
    </row>
    <row r="79" spans="1:18" ht="15.6" x14ac:dyDescent="0.3">
      <c r="A79" s="8">
        <v>1</v>
      </c>
      <c r="B79" s="9" t="s">
        <v>76</v>
      </c>
      <c r="C79" s="10">
        <f>V96</f>
        <v>420</v>
      </c>
      <c r="D79" s="10">
        <f>W96</f>
        <v>1000</v>
      </c>
      <c r="E79" s="11">
        <f>C79/D79</f>
        <v>0.42</v>
      </c>
      <c r="F79" s="6"/>
      <c r="G79" s="12">
        <v>18</v>
      </c>
      <c r="H79" s="13">
        <f>G79*E79</f>
        <v>7.56</v>
      </c>
      <c r="I79" s="64"/>
      <c r="J79" s="8">
        <v>1</v>
      </c>
      <c r="K79" s="9" t="s">
        <v>76</v>
      </c>
      <c r="L79" s="10">
        <f>V96</f>
        <v>420</v>
      </c>
      <c r="M79" s="10">
        <f>W96</f>
        <v>1000</v>
      </c>
      <c r="N79" s="11">
        <f t="shared" ref="N79:N87" si="12">L79/M79</f>
        <v>0.42</v>
      </c>
      <c r="O79" s="6"/>
      <c r="P79" s="12">
        <v>18</v>
      </c>
      <c r="Q79" s="13">
        <f t="shared" ref="Q79:Q87" si="13">P79*N79</f>
        <v>7.56</v>
      </c>
      <c r="R79" s="64"/>
    </row>
    <row r="80" spans="1:18" ht="15.6" x14ac:dyDescent="0.3">
      <c r="A80" s="8">
        <v>2</v>
      </c>
      <c r="B80" s="9" t="s">
        <v>147</v>
      </c>
      <c r="C80" s="10">
        <v>150</v>
      </c>
      <c r="D80" s="10">
        <v>1000</v>
      </c>
      <c r="E80" s="11">
        <f>C80/D80</f>
        <v>0.15</v>
      </c>
      <c r="F80" s="6"/>
      <c r="G80" s="12">
        <v>30</v>
      </c>
      <c r="H80" s="13">
        <f>G80*E80</f>
        <v>4.5</v>
      </c>
      <c r="I80" s="64"/>
      <c r="J80" s="8">
        <v>2</v>
      </c>
      <c r="K80" s="9" t="s">
        <v>28</v>
      </c>
      <c r="L80" s="10">
        <v>100</v>
      </c>
      <c r="M80" s="10">
        <v>50</v>
      </c>
      <c r="N80" s="14">
        <f t="shared" si="12"/>
        <v>2</v>
      </c>
      <c r="O80" s="6"/>
      <c r="P80" s="12">
        <v>1</v>
      </c>
      <c r="Q80" s="15">
        <f t="shared" si="13"/>
        <v>2</v>
      </c>
      <c r="R80" s="64"/>
    </row>
    <row r="81" spans="1:34" ht="15.6" x14ac:dyDescent="0.3">
      <c r="A81" s="8">
        <v>3</v>
      </c>
      <c r="B81" s="9"/>
      <c r="C81" s="10"/>
      <c r="D81" s="10"/>
      <c r="E81" s="14"/>
      <c r="F81" s="6"/>
      <c r="G81" s="12"/>
      <c r="H81" s="13"/>
      <c r="I81" s="64"/>
      <c r="J81" s="8">
        <v>3</v>
      </c>
      <c r="K81" s="9" t="s">
        <v>29</v>
      </c>
      <c r="L81" s="10">
        <v>19</v>
      </c>
      <c r="M81" s="10">
        <v>100</v>
      </c>
      <c r="N81" s="14">
        <f t="shared" si="12"/>
        <v>0.19</v>
      </c>
      <c r="O81" s="6"/>
      <c r="P81" s="12">
        <v>1</v>
      </c>
      <c r="Q81" s="13">
        <f t="shared" si="13"/>
        <v>0.19</v>
      </c>
      <c r="R81" s="64"/>
    </row>
    <row r="82" spans="1:34" ht="15.6" x14ac:dyDescent="0.3">
      <c r="A82" s="8">
        <v>4</v>
      </c>
      <c r="B82" s="9" t="s">
        <v>34</v>
      </c>
      <c r="C82" s="10">
        <v>4.5999999999999996</v>
      </c>
      <c r="D82" s="10">
        <v>1500</v>
      </c>
      <c r="E82" s="14">
        <f>C82/D82</f>
        <v>3.0666666666666663E-3</v>
      </c>
      <c r="F82" s="6"/>
      <c r="G82" s="12">
        <v>80</v>
      </c>
      <c r="H82" s="13">
        <f t="shared" ref="H82" si="14">G82*E82</f>
        <v>0.24533333333333329</v>
      </c>
      <c r="I82" s="64"/>
      <c r="J82" s="8">
        <v>4</v>
      </c>
      <c r="K82" s="9" t="s">
        <v>34</v>
      </c>
      <c r="L82" s="10">
        <v>4.5999999999999996</v>
      </c>
      <c r="M82" s="10">
        <v>1500</v>
      </c>
      <c r="N82" s="14">
        <f t="shared" si="12"/>
        <v>3.0666666666666663E-3</v>
      </c>
      <c r="O82" s="6"/>
      <c r="P82" s="12">
        <v>30</v>
      </c>
      <c r="Q82" s="13">
        <f t="shared" si="13"/>
        <v>9.1999999999999985E-2</v>
      </c>
      <c r="R82" s="64"/>
    </row>
    <row r="83" spans="1:34" ht="15.6" x14ac:dyDescent="0.3">
      <c r="A83" s="8">
        <v>5</v>
      </c>
      <c r="B83" s="9"/>
      <c r="C83" s="10"/>
      <c r="D83" s="10"/>
      <c r="E83" s="14"/>
      <c r="F83" s="6"/>
      <c r="G83" s="12"/>
      <c r="H83" s="13"/>
      <c r="I83" s="64"/>
      <c r="J83" s="8">
        <v>5</v>
      </c>
      <c r="K83" s="9" t="s">
        <v>61</v>
      </c>
      <c r="L83" s="10">
        <v>98</v>
      </c>
      <c r="M83" s="10">
        <v>2000</v>
      </c>
      <c r="N83" s="14">
        <f t="shared" si="12"/>
        <v>4.9000000000000002E-2</v>
      </c>
      <c r="O83" s="6"/>
      <c r="P83" s="12">
        <v>60</v>
      </c>
      <c r="Q83" s="13">
        <f t="shared" si="13"/>
        <v>2.94</v>
      </c>
      <c r="R83" s="64"/>
    </row>
    <row r="84" spans="1:34" ht="15.6" x14ac:dyDescent="0.3">
      <c r="A84" s="8">
        <v>6</v>
      </c>
      <c r="B84" s="9"/>
      <c r="C84" s="10"/>
      <c r="D84" s="10"/>
      <c r="E84" s="14"/>
      <c r="F84" s="6"/>
      <c r="G84" s="12"/>
      <c r="H84" s="13"/>
      <c r="I84" s="64"/>
      <c r="J84" s="8">
        <v>6</v>
      </c>
      <c r="K84" s="9" t="s">
        <v>145</v>
      </c>
      <c r="L84" s="10">
        <v>118</v>
      </c>
      <c r="M84" s="10">
        <v>2000</v>
      </c>
      <c r="N84" s="14">
        <f t="shared" si="12"/>
        <v>5.8999999999999997E-2</v>
      </c>
      <c r="O84" s="6"/>
      <c r="P84" s="12">
        <v>30</v>
      </c>
      <c r="Q84" s="13">
        <f t="shared" si="13"/>
        <v>1.77</v>
      </c>
      <c r="R84" s="64"/>
    </row>
    <row r="85" spans="1:34" ht="15.6" x14ac:dyDescent="0.3">
      <c r="A85" s="8">
        <v>7</v>
      </c>
      <c r="B85" s="9"/>
      <c r="C85" s="10"/>
      <c r="D85" s="10"/>
      <c r="E85" s="14"/>
      <c r="F85" s="6"/>
      <c r="G85" s="12"/>
      <c r="H85" s="13"/>
      <c r="I85" s="64"/>
      <c r="J85" s="8">
        <v>7</v>
      </c>
      <c r="K85" s="9" t="s">
        <v>148</v>
      </c>
      <c r="L85" s="10">
        <v>145</v>
      </c>
      <c r="M85" s="10">
        <v>700</v>
      </c>
      <c r="N85" s="14">
        <f t="shared" si="12"/>
        <v>0.20714285714285716</v>
      </c>
      <c r="O85" s="6"/>
      <c r="P85" s="12">
        <v>10</v>
      </c>
      <c r="Q85" s="13">
        <f t="shared" si="13"/>
        <v>2.0714285714285716</v>
      </c>
      <c r="R85" s="64"/>
    </row>
    <row r="86" spans="1:34" ht="15.6" x14ac:dyDescent="0.3">
      <c r="A86" s="8">
        <v>8</v>
      </c>
      <c r="B86" s="9"/>
      <c r="C86" s="10"/>
      <c r="D86" s="10"/>
      <c r="E86" s="14"/>
      <c r="F86" s="6"/>
      <c r="G86" s="12"/>
      <c r="H86" s="13"/>
      <c r="I86" s="64"/>
      <c r="J86" s="8">
        <v>8</v>
      </c>
      <c r="K86" s="9" t="s">
        <v>155</v>
      </c>
      <c r="L86" s="10">
        <v>135</v>
      </c>
      <c r="M86" s="10">
        <v>1000</v>
      </c>
      <c r="N86" s="14">
        <f t="shared" si="12"/>
        <v>0.13500000000000001</v>
      </c>
      <c r="O86" s="6"/>
      <c r="P86" s="12">
        <v>10</v>
      </c>
      <c r="Q86" s="13">
        <f t="shared" si="13"/>
        <v>1.35</v>
      </c>
      <c r="R86" s="64"/>
    </row>
    <row r="87" spans="1:34" ht="15.6" x14ac:dyDescent="0.3">
      <c r="A87" s="8">
        <v>9</v>
      </c>
      <c r="B87" s="9"/>
      <c r="C87" s="10"/>
      <c r="D87" s="10"/>
      <c r="E87" s="14"/>
      <c r="F87" s="6"/>
      <c r="G87" s="12"/>
      <c r="H87" s="13"/>
      <c r="I87" s="64"/>
      <c r="J87" s="8">
        <v>9</v>
      </c>
      <c r="K87" s="9" t="s">
        <v>156</v>
      </c>
      <c r="L87" s="10">
        <v>265</v>
      </c>
      <c r="M87" s="10">
        <v>350</v>
      </c>
      <c r="N87" s="14">
        <f t="shared" si="12"/>
        <v>0.75714285714285712</v>
      </c>
      <c r="O87" s="6"/>
      <c r="P87" s="12">
        <v>10</v>
      </c>
      <c r="Q87" s="13">
        <f t="shared" si="13"/>
        <v>7.5714285714285712</v>
      </c>
      <c r="R87" s="64"/>
    </row>
    <row r="88" spans="1:34" ht="16.2" thickBot="1" x14ac:dyDescent="0.35">
      <c r="A88" s="16">
        <v>10</v>
      </c>
      <c r="B88" s="17"/>
      <c r="C88" s="18"/>
      <c r="D88" s="18"/>
      <c r="E88" s="19"/>
      <c r="F88" s="6"/>
      <c r="G88" s="12"/>
      <c r="H88" s="13"/>
      <c r="I88" s="64"/>
      <c r="J88" s="16">
        <v>10</v>
      </c>
      <c r="K88" s="17"/>
      <c r="L88" s="18"/>
      <c r="M88" s="18"/>
      <c r="N88" s="19"/>
      <c r="O88" s="6"/>
      <c r="P88" s="12"/>
      <c r="Q88" s="13"/>
      <c r="R88" s="64"/>
    </row>
    <row r="89" spans="1:34" ht="16.2" thickBot="1" x14ac:dyDescent="0.35">
      <c r="A89" s="65"/>
      <c r="B89" s="6"/>
      <c r="C89" s="6"/>
      <c r="D89" s="6"/>
      <c r="E89" s="6"/>
      <c r="F89" s="6"/>
      <c r="G89" s="20" t="s">
        <v>18</v>
      </c>
      <c r="H89" s="73">
        <f>SUM(H79:H88)</f>
        <v>12.305333333333332</v>
      </c>
      <c r="I89" s="64"/>
      <c r="J89" s="65"/>
      <c r="K89" s="6"/>
      <c r="L89" s="6"/>
      <c r="M89" s="6"/>
      <c r="N89" s="6"/>
      <c r="O89" s="6"/>
      <c r="P89" s="20" t="s">
        <v>18</v>
      </c>
      <c r="Q89" s="73">
        <f>SUM(Q79:Q88)</f>
        <v>25.54485714285714</v>
      </c>
      <c r="R89" s="64"/>
    </row>
    <row r="90" spans="1:34" ht="16.2" thickBot="1" x14ac:dyDescent="0.35">
      <c r="A90" s="65"/>
      <c r="B90" s="6"/>
      <c r="C90" s="6"/>
      <c r="D90" s="6"/>
      <c r="E90" s="6"/>
      <c r="F90" s="6"/>
      <c r="G90" s="6"/>
      <c r="H90" s="6"/>
      <c r="I90" s="64"/>
      <c r="J90" s="65"/>
      <c r="K90" s="6"/>
      <c r="L90" s="6"/>
      <c r="M90" s="6"/>
      <c r="N90" s="6"/>
      <c r="O90" s="6"/>
      <c r="P90" s="6"/>
      <c r="Q90" s="6"/>
      <c r="R90" s="64"/>
    </row>
    <row r="91" spans="1:34" ht="15.6" x14ac:dyDescent="0.3">
      <c r="A91" s="110" t="s">
        <v>19</v>
      </c>
      <c r="B91" s="111"/>
      <c r="C91" s="111"/>
      <c r="D91" s="111"/>
      <c r="E91" s="111"/>
      <c r="F91" s="111"/>
      <c r="G91" s="111"/>
      <c r="H91" s="112"/>
      <c r="I91" s="64"/>
      <c r="J91" s="110" t="s">
        <v>19</v>
      </c>
      <c r="K91" s="111"/>
      <c r="L91" s="111"/>
      <c r="M91" s="111"/>
      <c r="N91" s="111"/>
      <c r="O91" s="111"/>
      <c r="P91" s="111"/>
      <c r="Q91" s="112"/>
      <c r="R91" s="64"/>
    </row>
    <row r="92" spans="1:34" ht="15.6" x14ac:dyDescent="0.3">
      <c r="A92" s="113" t="s">
        <v>20</v>
      </c>
      <c r="B92" s="114"/>
      <c r="C92" s="115"/>
      <c r="D92" s="150">
        <f>H89</f>
        <v>12.305333333333332</v>
      </c>
      <c r="E92" s="151"/>
      <c r="F92" s="117" t="s">
        <v>21</v>
      </c>
      <c r="G92" s="118"/>
      <c r="H92" s="71">
        <f>D92*30%+D92</f>
        <v>15.996933333333331</v>
      </c>
      <c r="I92" s="64"/>
      <c r="J92" s="113" t="s">
        <v>20</v>
      </c>
      <c r="K92" s="114"/>
      <c r="L92" s="115"/>
      <c r="M92" s="116">
        <f>Q89</f>
        <v>25.54485714285714</v>
      </c>
      <c r="N92" s="116"/>
      <c r="O92" s="117" t="s">
        <v>21</v>
      </c>
      <c r="P92" s="118"/>
      <c r="Q92" s="71">
        <f>M92*30%+M92</f>
        <v>33.20831428571428</v>
      </c>
      <c r="R92" s="64"/>
    </row>
    <row r="93" spans="1:34" ht="16.2" thickBot="1" x14ac:dyDescent="0.35">
      <c r="A93" s="119" t="s">
        <v>22</v>
      </c>
      <c r="B93" s="120"/>
      <c r="C93" s="121"/>
      <c r="D93" s="148">
        <f>H92</f>
        <v>15.996933333333331</v>
      </c>
      <c r="E93" s="149"/>
      <c r="F93" s="123">
        <v>1.6</v>
      </c>
      <c r="G93" s="124"/>
      <c r="H93" s="25">
        <f>D93*F93</f>
        <v>25.595093333333331</v>
      </c>
      <c r="I93" s="66"/>
      <c r="J93" s="119" t="s">
        <v>22</v>
      </c>
      <c r="K93" s="120"/>
      <c r="L93" s="121"/>
      <c r="M93" s="122">
        <f>Q92</f>
        <v>33.20831428571428</v>
      </c>
      <c r="N93" s="122"/>
      <c r="O93" s="123">
        <v>1.6</v>
      </c>
      <c r="P93" s="124"/>
      <c r="Q93" s="25">
        <f>M93*O93</f>
        <v>53.133302857142851</v>
      </c>
      <c r="R93" s="66"/>
    </row>
    <row r="94" spans="1:34" ht="15.6" x14ac:dyDescent="0.3">
      <c r="T94" s="125" t="s">
        <v>9</v>
      </c>
      <c r="U94" s="127" t="s">
        <v>10</v>
      </c>
      <c r="V94" s="127" t="s">
        <v>11</v>
      </c>
      <c r="W94" s="5" t="s">
        <v>12</v>
      </c>
      <c r="X94" s="129" t="s">
        <v>13</v>
      </c>
      <c r="Y94" s="63"/>
      <c r="Z94" s="131" t="s">
        <v>14</v>
      </c>
      <c r="AA94" s="133" t="s">
        <v>15</v>
      </c>
      <c r="AB94" s="74"/>
      <c r="AC94" s="75" t="s">
        <v>167</v>
      </c>
      <c r="AD94" s="76" t="s">
        <v>168</v>
      </c>
      <c r="AE94" s="77" t="s">
        <v>24</v>
      </c>
      <c r="AF94" s="78" t="s">
        <v>88</v>
      </c>
      <c r="AG94" s="77" t="s">
        <v>11</v>
      </c>
      <c r="AH94" s="77" t="s">
        <v>169</v>
      </c>
    </row>
    <row r="95" spans="1:34" ht="16.2" thickBot="1" x14ac:dyDescent="0.35">
      <c r="T95" s="126"/>
      <c r="U95" s="128"/>
      <c r="V95" s="128"/>
      <c r="W95" s="7" t="s">
        <v>16</v>
      </c>
      <c r="X95" s="130"/>
      <c r="Y95" s="6"/>
      <c r="Z95" s="132"/>
      <c r="AA95" s="134"/>
      <c r="AB95" s="74" t="s">
        <v>112</v>
      </c>
      <c r="AC95" s="79">
        <f>AA106</f>
        <v>9.4099999999999984</v>
      </c>
      <c r="AD95" s="80">
        <f>AA109</f>
        <v>12.232999999999997</v>
      </c>
      <c r="AE95" s="81">
        <v>45</v>
      </c>
      <c r="AF95" s="82">
        <f>AE95-AD95</f>
        <v>32.767000000000003</v>
      </c>
      <c r="AG95" s="74">
        <f>V96</f>
        <v>420</v>
      </c>
      <c r="AH95" s="74">
        <f>W96</f>
        <v>1000</v>
      </c>
    </row>
    <row r="96" spans="1:34" ht="15.6" x14ac:dyDescent="0.3">
      <c r="A96" s="125" t="s">
        <v>9</v>
      </c>
      <c r="B96" s="127" t="s">
        <v>10</v>
      </c>
      <c r="C96" s="127" t="s">
        <v>11</v>
      </c>
      <c r="D96" s="5" t="s">
        <v>12</v>
      </c>
      <c r="E96" s="129" t="s">
        <v>13</v>
      </c>
      <c r="F96" s="63"/>
      <c r="G96" s="131" t="s">
        <v>14</v>
      </c>
      <c r="H96" s="133" t="s">
        <v>15</v>
      </c>
      <c r="I96" s="152" t="s">
        <v>185</v>
      </c>
      <c r="T96" s="8">
        <v>1</v>
      </c>
      <c r="U96" s="9" t="s">
        <v>76</v>
      </c>
      <c r="V96" s="10">
        <v>420</v>
      </c>
      <c r="W96" s="10">
        <v>1000</v>
      </c>
      <c r="X96" s="11">
        <f t="shared" ref="X96:X99" si="15">V96/W96</f>
        <v>0.42</v>
      </c>
      <c r="Y96" s="6"/>
      <c r="Z96" s="12">
        <v>16</v>
      </c>
      <c r="AA96" s="13">
        <f t="shared" ref="AA96:AA99" si="16">Z96*X96</f>
        <v>6.72</v>
      </c>
      <c r="AB96" s="74" t="s">
        <v>36</v>
      </c>
      <c r="AC96" s="79">
        <f>H13</f>
        <v>16.094166666666666</v>
      </c>
      <c r="AD96" s="80">
        <f>H16</f>
        <v>20.922416666666667</v>
      </c>
      <c r="AE96" s="81">
        <v>55</v>
      </c>
      <c r="AF96" s="82">
        <f t="shared" ref="AF96:AF106" si="17">AE96-AD96</f>
        <v>34.077583333333337</v>
      </c>
      <c r="AG96" s="83"/>
      <c r="AH96" s="83"/>
    </row>
    <row r="97" spans="1:34" ht="15.6" x14ac:dyDescent="0.3">
      <c r="A97" s="126"/>
      <c r="B97" s="128"/>
      <c r="C97" s="128"/>
      <c r="D97" s="7" t="s">
        <v>16</v>
      </c>
      <c r="E97" s="130"/>
      <c r="F97" s="6"/>
      <c r="G97" s="132"/>
      <c r="H97" s="134"/>
      <c r="I97" s="153"/>
      <c r="T97" s="8">
        <v>2</v>
      </c>
      <c r="U97" s="9" t="s">
        <v>28</v>
      </c>
      <c r="V97" s="10">
        <v>100</v>
      </c>
      <c r="W97" s="10">
        <v>50</v>
      </c>
      <c r="X97" s="14">
        <f t="shared" si="15"/>
        <v>2</v>
      </c>
      <c r="Y97" s="6"/>
      <c r="Z97" s="12">
        <v>1</v>
      </c>
      <c r="AA97" s="15">
        <f t="shared" si="16"/>
        <v>2</v>
      </c>
      <c r="AB97" s="74" t="s">
        <v>50</v>
      </c>
      <c r="AC97" s="79">
        <f>H32</f>
        <v>17.532692307692308</v>
      </c>
      <c r="AD97" s="80">
        <f>H35</f>
        <v>22.7925</v>
      </c>
      <c r="AE97" s="81">
        <v>60</v>
      </c>
      <c r="AF97" s="82">
        <f t="shared" si="17"/>
        <v>37.207499999999996</v>
      </c>
      <c r="AG97" s="83"/>
      <c r="AH97" s="83"/>
    </row>
    <row r="98" spans="1:34" ht="15.6" x14ac:dyDescent="0.3">
      <c r="A98" s="8">
        <v>1</v>
      </c>
      <c r="B98" s="9" t="s">
        <v>76</v>
      </c>
      <c r="C98" s="10">
        <f>V96</f>
        <v>420</v>
      </c>
      <c r="D98" s="10">
        <f>W96</f>
        <v>1000</v>
      </c>
      <c r="E98" s="11">
        <f>C98/D98</f>
        <v>0.42</v>
      </c>
      <c r="F98" s="6"/>
      <c r="G98" s="12">
        <v>18</v>
      </c>
      <c r="H98" s="13">
        <f>G98*E98</f>
        <v>7.56</v>
      </c>
      <c r="I98" s="64"/>
      <c r="T98" s="8">
        <v>3</v>
      </c>
      <c r="U98" s="9" t="s">
        <v>29</v>
      </c>
      <c r="V98" s="10">
        <v>19</v>
      </c>
      <c r="W98" s="10">
        <v>100</v>
      </c>
      <c r="X98" s="14">
        <f t="shared" si="15"/>
        <v>0.19</v>
      </c>
      <c r="Y98" s="6"/>
      <c r="Z98" s="12">
        <v>1</v>
      </c>
      <c r="AA98" s="13">
        <f t="shared" si="16"/>
        <v>0.19</v>
      </c>
      <c r="AB98" s="74" t="s">
        <v>72</v>
      </c>
      <c r="AC98" s="79">
        <f>H51</f>
        <v>14.556666666666665</v>
      </c>
      <c r="AD98" s="80">
        <f>H54</f>
        <v>18.923666666666662</v>
      </c>
      <c r="AE98" s="81">
        <v>55</v>
      </c>
      <c r="AF98" s="82">
        <f t="shared" si="17"/>
        <v>36.076333333333338</v>
      </c>
      <c r="AG98" s="83"/>
      <c r="AH98" s="83"/>
    </row>
    <row r="99" spans="1:34" ht="15.6" x14ac:dyDescent="0.3">
      <c r="A99" s="8">
        <v>2</v>
      </c>
      <c r="B99" s="9"/>
      <c r="C99" s="10"/>
      <c r="D99" s="10"/>
      <c r="E99" s="11"/>
      <c r="F99" s="6"/>
      <c r="G99" s="12"/>
      <c r="H99" s="13"/>
      <c r="I99" s="64"/>
      <c r="T99" s="8">
        <v>4</v>
      </c>
      <c r="U99" s="9" t="s">
        <v>34</v>
      </c>
      <c r="V99" s="10">
        <v>45</v>
      </c>
      <c r="W99" s="10">
        <v>9000</v>
      </c>
      <c r="X99" s="14">
        <f t="shared" si="15"/>
        <v>5.0000000000000001E-3</v>
      </c>
      <c r="Y99" s="6"/>
      <c r="Z99" s="12">
        <v>100</v>
      </c>
      <c r="AA99" s="13">
        <f t="shared" si="16"/>
        <v>0.5</v>
      </c>
      <c r="AB99" s="74" t="s">
        <v>74</v>
      </c>
      <c r="AC99" s="79">
        <f>H70</f>
        <v>17.325855855855853</v>
      </c>
      <c r="AD99" s="80">
        <f>H73</f>
        <v>22.523612612612609</v>
      </c>
      <c r="AE99" s="81">
        <v>60</v>
      </c>
      <c r="AF99" s="82">
        <f t="shared" si="17"/>
        <v>37.476387387387391</v>
      </c>
      <c r="AG99" s="83"/>
      <c r="AH99" s="83"/>
    </row>
    <row r="100" spans="1:34" ht="15.6" x14ac:dyDescent="0.3">
      <c r="A100" s="8">
        <v>3</v>
      </c>
      <c r="B100" s="9"/>
      <c r="C100" s="10"/>
      <c r="D100" s="10"/>
      <c r="E100" s="14"/>
      <c r="F100" s="6"/>
      <c r="G100" s="12"/>
      <c r="H100" s="13"/>
      <c r="I100" s="64"/>
      <c r="T100" s="8">
        <v>5</v>
      </c>
      <c r="U100" s="9"/>
      <c r="V100" s="10"/>
      <c r="W100" s="10"/>
      <c r="X100" s="14"/>
      <c r="Y100" s="6"/>
      <c r="Z100" s="12"/>
      <c r="AA100" s="13"/>
      <c r="AB100" s="74" t="s">
        <v>182</v>
      </c>
      <c r="AC100" s="79">
        <f>H89</f>
        <v>12.305333333333332</v>
      </c>
      <c r="AD100" s="80">
        <f>H92</f>
        <v>15.996933333333331</v>
      </c>
      <c r="AE100" s="81">
        <v>50</v>
      </c>
      <c r="AF100" s="82">
        <f t="shared" si="17"/>
        <v>34.003066666666669</v>
      </c>
      <c r="AG100" s="83"/>
      <c r="AH100" s="83"/>
    </row>
    <row r="101" spans="1:34" ht="15.6" x14ac:dyDescent="0.3">
      <c r="A101" s="8">
        <v>4</v>
      </c>
      <c r="B101" s="9" t="s">
        <v>34</v>
      </c>
      <c r="C101" s="10">
        <v>4.5999999999999996</v>
      </c>
      <c r="D101" s="10">
        <v>1500</v>
      </c>
      <c r="E101" s="14">
        <f>C101/D101</f>
        <v>3.0666666666666663E-3</v>
      </c>
      <c r="F101" s="6"/>
      <c r="G101" s="12">
        <v>80</v>
      </c>
      <c r="H101" s="13">
        <f t="shared" ref="H101" si="18">G101*E101</f>
        <v>0.24533333333333329</v>
      </c>
      <c r="I101" s="64"/>
      <c r="T101" s="8">
        <v>6</v>
      </c>
      <c r="U101" s="9"/>
      <c r="V101" s="10"/>
      <c r="W101" s="10"/>
      <c r="X101" s="14"/>
      <c r="Y101" s="6"/>
      <c r="Z101" s="12"/>
      <c r="AA101" s="13"/>
      <c r="AB101" s="74" t="s">
        <v>33</v>
      </c>
      <c r="AC101" s="79">
        <f>Q13</f>
        <v>18.129999999999995</v>
      </c>
      <c r="AD101" s="80">
        <f>Q16</f>
        <v>23.568999999999996</v>
      </c>
      <c r="AE101" s="81">
        <v>50</v>
      </c>
      <c r="AF101" s="82">
        <f t="shared" si="17"/>
        <v>26.431000000000004</v>
      </c>
      <c r="AG101" s="83"/>
      <c r="AH101" s="83"/>
    </row>
    <row r="102" spans="1:34" ht="15.6" x14ac:dyDescent="0.3">
      <c r="A102" s="8">
        <v>5</v>
      </c>
      <c r="B102" s="9"/>
      <c r="C102" s="10"/>
      <c r="D102" s="10"/>
      <c r="E102" s="14"/>
      <c r="F102" s="6"/>
      <c r="G102" s="12"/>
      <c r="H102" s="13"/>
      <c r="I102" s="64"/>
      <c r="T102" s="8">
        <v>7</v>
      </c>
      <c r="U102" s="9"/>
      <c r="V102" s="10"/>
      <c r="W102" s="10"/>
      <c r="X102" s="14"/>
      <c r="Y102" s="6"/>
      <c r="Z102" s="12"/>
      <c r="AA102" s="13"/>
      <c r="AB102" s="74" t="s">
        <v>77</v>
      </c>
      <c r="AC102" s="79">
        <f>Q32</f>
        <v>24.191428571428567</v>
      </c>
      <c r="AD102" s="80">
        <f>Q35</f>
        <v>31.448857142857136</v>
      </c>
      <c r="AE102" s="81">
        <v>50</v>
      </c>
      <c r="AF102" s="82">
        <f t="shared" si="17"/>
        <v>18.551142857142864</v>
      </c>
      <c r="AG102" s="83"/>
      <c r="AH102" s="83"/>
    </row>
    <row r="103" spans="1:34" ht="15.6" x14ac:dyDescent="0.3">
      <c r="A103" s="8">
        <v>6</v>
      </c>
      <c r="B103" s="9"/>
      <c r="C103" s="10"/>
      <c r="D103" s="10"/>
      <c r="E103" s="14"/>
      <c r="F103" s="6"/>
      <c r="G103" s="12"/>
      <c r="H103" s="13"/>
      <c r="I103" s="64"/>
      <c r="T103" s="8">
        <v>8</v>
      </c>
      <c r="U103" s="9"/>
      <c r="V103" s="10"/>
      <c r="W103" s="10"/>
      <c r="X103" s="14"/>
      <c r="Y103" s="6"/>
      <c r="Z103" s="12"/>
      <c r="AA103" s="13"/>
      <c r="AB103" s="74" t="s">
        <v>38</v>
      </c>
      <c r="AC103" s="79">
        <f>Q51</f>
        <v>24.729999999999997</v>
      </c>
      <c r="AD103" s="80">
        <f>Q54</f>
        <v>32.148999999999994</v>
      </c>
      <c r="AE103" s="81">
        <v>55</v>
      </c>
      <c r="AF103" s="82">
        <f t="shared" si="17"/>
        <v>22.851000000000006</v>
      </c>
      <c r="AG103" s="83"/>
      <c r="AH103" s="83"/>
    </row>
    <row r="104" spans="1:34" ht="15.6" x14ac:dyDescent="0.3">
      <c r="A104" s="8">
        <v>7</v>
      </c>
      <c r="B104" s="9"/>
      <c r="C104" s="10"/>
      <c r="D104" s="10"/>
      <c r="E104" s="14"/>
      <c r="F104" s="6"/>
      <c r="G104" s="12"/>
      <c r="H104" s="13"/>
      <c r="I104" s="64"/>
      <c r="T104" s="8">
        <v>9</v>
      </c>
      <c r="U104" s="9"/>
      <c r="V104" s="10"/>
      <c r="W104" s="10"/>
      <c r="X104" s="14"/>
      <c r="Y104" s="6"/>
      <c r="Z104" s="12"/>
      <c r="AA104" s="13"/>
      <c r="AB104" s="74" t="s">
        <v>126</v>
      </c>
      <c r="AC104" s="79">
        <f>Q70</f>
        <v>21.49642857142857</v>
      </c>
      <c r="AD104" s="80">
        <f>Q73</f>
        <v>27.945357142857141</v>
      </c>
      <c r="AE104" s="81">
        <v>50</v>
      </c>
      <c r="AF104" s="82">
        <f t="shared" si="17"/>
        <v>22.054642857142859</v>
      </c>
      <c r="AG104" s="83"/>
      <c r="AH104" s="83"/>
    </row>
    <row r="105" spans="1:34" ht="16.2" thickBot="1" x14ac:dyDescent="0.35">
      <c r="A105" s="8">
        <v>8</v>
      </c>
      <c r="B105" s="9"/>
      <c r="C105" s="10"/>
      <c r="D105" s="10"/>
      <c r="E105" s="14"/>
      <c r="F105" s="6"/>
      <c r="G105" s="12"/>
      <c r="H105" s="13"/>
      <c r="I105" s="64"/>
      <c r="T105" s="16">
        <v>10</v>
      </c>
      <c r="U105" s="17"/>
      <c r="V105" s="18"/>
      <c r="W105" s="18"/>
      <c r="X105" s="19"/>
      <c r="Y105" s="6"/>
      <c r="Z105" s="12"/>
      <c r="AA105" s="13"/>
      <c r="AB105" s="74" t="s">
        <v>110</v>
      </c>
      <c r="AC105" s="79">
        <f>Q89</f>
        <v>25.54485714285714</v>
      </c>
      <c r="AD105" s="80">
        <f>Q92</f>
        <v>33.20831428571428</v>
      </c>
      <c r="AE105" s="81">
        <v>55</v>
      </c>
      <c r="AF105" s="82">
        <f t="shared" si="17"/>
        <v>21.79168571428572</v>
      </c>
      <c r="AG105" s="83"/>
      <c r="AH105" s="83"/>
    </row>
    <row r="106" spans="1:34" ht="16.2" thickBot="1" x14ac:dyDescent="0.35">
      <c r="A106" s="8">
        <v>9</v>
      </c>
      <c r="B106" s="9"/>
      <c r="C106" s="10"/>
      <c r="D106" s="10"/>
      <c r="E106" s="14"/>
      <c r="F106" s="6"/>
      <c r="G106" s="12"/>
      <c r="H106" s="13"/>
      <c r="I106" s="64"/>
      <c r="T106" s="65"/>
      <c r="U106" s="6"/>
      <c r="V106" s="6"/>
      <c r="W106" s="6"/>
      <c r="X106" s="6"/>
      <c r="Y106" s="6"/>
      <c r="Z106" s="20" t="s">
        <v>18</v>
      </c>
      <c r="AA106" s="97">
        <f>SUM(AA96:AA105)</f>
        <v>9.4099999999999984</v>
      </c>
      <c r="AB106" s="98" t="s">
        <v>185</v>
      </c>
      <c r="AC106" s="99">
        <f>H108</f>
        <v>7.8053333333333326</v>
      </c>
      <c r="AD106" s="71">
        <f>H111</f>
        <v>10.146933333333333</v>
      </c>
      <c r="AE106" s="81">
        <v>50</v>
      </c>
      <c r="AF106" s="82">
        <f t="shared" si="17"/>
        <v>39.853066666666663</v>
      </c>
    </row>
    <row r="107" spans="1:34" ht="16.2" thickBot="1" x14ac:dyDescent="0.35">
      <c r="A107" s="16">
        <v>10</v>
      </c>
      <c r="B107" s="17"/>
      <c r="C107" s="18"/>
      <c r="D107" s="18"/>
      <c r="E107" s="19"/>
      <c r="F107" s="6"/>
      <c r="G107" s="12"/>
      <c r="H107" s="13"/>
      <c r="I107" s="64"/>
      <c r="T107" s="65"/>
      <c r="U107" s="6"/>
      <c r="V107" s="6"/>
      <c r="W107" s="6"/>
      <c r="X107" s="6"/>
      <c r="Y107" s="6"/>
      <c r="Z107" s="22"/>
      <c r="AA107" s="23"/>
      <c r="AB107" s="100" t="s">
        <v>186</v>
      </c>
      <c r="AC107" s="99">
        <f>H127</f>
        <v>12.824166666666665</v>
      </c>
      <c r="AD107" s="71">
        <f>H130</f>
        <v>16.671416666666666</v>
      </c>
      <c r="AE107" s="81">
        <v>50</v>
      </c>
      <c r="AF107" s="82">
        <f t="shared" ref="AF107" si="19">AE107-AD107</f>
        <v>33.328583333333334</v>
      </c>
    </row>
    <row r="108" spans="1:34" ht="16.2" thickBot="1" x14ac:dyDescent="0.35">
      <c r="A108" s="65"/>
      <c r="B108" s="6"/>
      <c r="C108" s="6"/>
      <c r="D108" s="6"/>
      <c r="E108" s="6"/>
      <c r="F108" s="6"/>
      <c r="G108" s="20" t="s">
        <v>18</v>
      </c>
      <c r="H108" s="73">
        <f>SUM(H98:H107)</f>
        <v>7.8053333333333326</v>
      </c>
      <c r="I108" s="64"/>
      <c r="T108" s="110" t="s">
        <v>19</v>
      </c>
      <c r="U108" s="111"/>
      <c r="V108" s="111"/>
      <c r="W108" s="111"/>
      <c r="X108" s="111"/>
      <c r="Y108" s="111"/>
      <c r="Z108" s="111"/>
      <c r="AA108" s="112"/>
    </row>
    <row r="109" spans="1:34" ht="16.2" thickBot="1" x14ac:dyDescent="0.35">
      <c r="A109" s="65"/>
      <c r="B109" s="6"/>
      <c r="C109" s="6"/>
      <c r="D109" s="6"/>
      <c r="E109" s="6"/>
      <c r="F109" s="6"/>
      <c r="G109" s="6"/>
      <c r="H109" s="6"/>
      <c r="I109" s="64"/>
      <c r="T109" s="113" t="s">
        <v>20</v>
      </c>
      <c r="U109" s="114"/>
      <c r="V109" s="115"/>
      <c r="W109" s="150">
        <f>AA106</f>
        <v>9.4099999999999984</v>
      </c>
      <c r="X109" s="151"/>
      <c r="Y109" s="117" t="s">
        <v>21</v>
      </c>
      <c r="Z109" s="118"/>
      <c r="AA109" s="71">
        <f>W109*30%+W109</f>
        <v>12.232999999999997</v>
      </c>
    </row>
    <row r="110" spans="1:34" ht="16.2" thickBot="1" x14ac:dyDescent="0.35">
      <c r="A110" s="110" t="s">
        <v>19</v>
      </c>
      <c r="B110" s="111"/>
      <c r="C110" s="111"/>
      <c r="D110" s="111"/>
      <c r="E110" s="111"/>
      <c r="F110" s="111"/>
      <c r="G110" s="111"/>
      <c r="H110" s="112"/>
      <c r="I110" s="64"/>
      <c r="T110" s="119" t="s">
        <v>22</v>
      </c>
      <c r="U110" s="120"/>
      <c r="V110" s="121"/>
      <c r="W110" s="148">
        <f>AA109</f>
        <v>12.232999999999997</v>
      </c>
      <c r="X110" s="149"/>
      <c r="Y110" s="123">
        <v>1.6</v>
      </c>
      <c r="Z110" s="124"/>
      <c r="AA110" s="25">
        <f>W110*Y110</f>
        <v>19.572799999999997</v>
      </c>
    </row>
    <row r="111" spans="1:34" ht="15.6" x14ac:dyDescent="0.3">
      <c r="A111" s="113" t="s">
        <v>20</v>
      </c>
      <c r="B111" s="114"/>
      <c r="C111" s="115"/>
      <c r="D111" s="150">
        <f>H108</f>
        <v>7.8053333333333326</v>
      </c>
      <c r="E111" s="151"/>
      <c r="F111" s="117" t="s">
        <v>21</v>
      </c>
      <c r="G111" s="118"/>
      <c r="H111" s="71">
        <f>D111*30%+D111</f>
        <v>10.146933333333333</v>
      </c>
      <c r="I111" s="64"/>
    </row>
    <row r="112" spans="1:34" ht="16.2" thickBot="1" x14ac:dyDescent="0.35">
      <c r="A112" s="119" t="s">
        <v>22</v>
      </c>
      <c r="B112" s="120"/>
      <c r="C112" s="121"/>
      <c r="D112" s="148">
        <f>H111</f>
        <v>10.146933333333333</v>
      </c>
      <c r="E112" s="149"/>
      <c r="F112" s="123">
        <v>1.6</v>
      </c>
      <c r="G112" s="124"/>
      <c r="H112" s="25">
        <f>D112*F112</f>
        <v>16.235093333333335</v>
      </c>
      <c r="I112" s="66"/>
    </row>
    <row r="113" spans="1:35" x14ac:dyDescent="0.3">
      <c r="AC113" t="s">
        <v>206</v>
      </c>
      <c r="AD113" t="s">
        <v>207</v>
      </c>
      <c r="AE113" t="s">
        <v>88</v>
      </c>
    </row>
    <row r="114" spans="1:35" ht="16.2" thickBot="1" x14ac:dyDescent="0.35">
      <c r="AB114" s="74" t="s">
        <v>112</v>
      </c>
      <c r="AC114" s="107">
        <v>0</v>
      </c>
      <c r="AD114" s="107">
        <f>AE95*AC114</f>
        <v>0</v>
      </c>
      <c r="AE114" s="107">
        <f>AF95*AC114</f>
        <v>0</v>
      </c>
      <c r="AF114" s="107"/>
      <c r="AG114" s="107"/>
      <c r="AH114" s="107"/>
    </row>
    <row r="115" spans="1:35" ht="15.6" x14ac:dyDescent="0.3">
      <c r="A115" s="125" t="s">
        <v>9</v>
      </c>
      <c r="B115" s="127" t="s">
        <v>10</v>
      </c>
      <c r="C115" s="127" t="s">
        <v>11</v>
      </c>
      <c r="D115" s="5" t="s">
        <v>12</v>
      </c>
      <c r="E115" s="129" t="s">
        <v>13</v>
      </c>
      <c r="F115" s="63"/>
      <c r="G115" s="131" t="s">
        <v>14</v>
      </c>
      <c r="H115" s="133" t="s">
        <v>15</v>
      </c>
      <c r="I115" s="152" t="s">
        <v>186</v>
      </c>
      <c r="AB115" s="74" t="s">
        <v>36</v>
      </c>
      <c r="AC115" s="107">
        <v>0</v>
      </c>
      <c r="AD115" s="107">
        <f t="shared" ref="AD115:AD126" si="20">AE96*AC115</f>
        <v>0</v>
      </c>
      <c r="AE115" s="107">
        <f t="shared" ref="AE115:AE126" si="21">AF96*AC115</f>
        <v>0</v>
      </c>
      <c r="AF115" s="107"/>
      <c r="AG115" s="107"/>
      <c r="AH115" s="107"/>
    </row>
    <row r="116" spans="1:35" ht="15.6" x14ac:dyDescent="0.3">
      <c r="A116" s="126"/>
      <c r="B116" s="128"/>
      <c r="C116" s="128"/>
      <c r="D116" s="7" t="s">
        <v>16</v>
      </c>
      <c r="E116" s="130"/>
      <c r="F116" s="6"/>
      <c r="G116" s="132"/>
      <c r="H116" s="134"/>
      <c r="I116" s="153"/>
      <c r="U116" t="s">
        <v>200</v>
      </c>
      <c r="V116">
        <v>520</v>
      </c>
      <c r="AB116" s="74" t="s">
        <v>50</v>
      </c>
      <c r="AC116" s="107">
        <v>0</v>
      </c>
      <c r="AD116" s="107">
        <f t="shared" si="20"/>
        <v>0</v>
      </c>
      <c r="AE116" s="107">
        <f t="shared" si="21"/>
        <v>0</v>
      </c>
      <c r="AF116" s="107"/>
      <c r="AG116" s="107"/>
      <c r="AH116" s="107"/>
    </row>
    <row r="117" spans="1:35" ht="15.6" x14ac:dyDescent="0.3">
      <c r="A117" s="8">
        <v>1</v>
      </c>
      <c r="B117" s="9" t="s">
        <v>76</v>
      </c>
      <c r="C117" s="10">
        <f>V96</f>
        <v>420</v>
      </c>
      <c r="D117" s="10">
        <f>W96</f>
        <v>1000</v>
      </c>
      <c r="E117" s="11">
        <f t="shared" ref="E117:E122" si="22">C117/D117</f>
        <v>0.42</v>
      </c>
      <c r="F117" s="6"/>
      <c r="G117" s="12">
        <v>18</v>
      </c>
      <c r="H117" s="13">
        <f t="shared" ref="H117:H122" si="23">G117*E117</f>
        <v>7.56</v>
      </c>
      <c r="I117" s="64"/>
      <c r="U117" t="s">
        <v>201</v>
      </c>
      <c r="V117">
        <v>420</v>
      </c>
      <c r="AB117" s="74" t="s">
        <v>72</v>
      </c>
      <c r="AC117" s="107">
        <v>0</v>
      </c>
      <c r="AD117" s="107">
        <f t="shared" si="20"/>
        <v>0</v>
      </c>
      <c r="AE117" s="107">
        <f t="shared" si="21"/>
        <v>0</v>
      </c>
      <c r="AF117" s="107"/>
      <c r="AG117" s="107"/>
      <c r="AH117" s="107"/>
    </row>
    <row r="118" spans="1:35" ht="15.6" x14ac:dyDescent="0.3">
      <c r="A118" s="8">
        <v>2</v>
      </c>
      <c r="B118" s="9" t="s">
        <v>35</v>
      </c>
      <c r="C118" s="10">
        <v>100</v>
      </c>
      <c r="D118" s="10">
        <v>50</v>
      </c>
      <c r="E118" s="14">
        <f t="shared" si="22"/>
        <v>2</v>
      </c>
      <c r="F118" s="6"/>
      <c r="G118" s="12">
        <v>1</v>
      </c>
      <c r="H118" s="15">
        <f t="shared" si="23"/>
        <v>2</v>
      </c>
      <c r="I118" s="64"/>
      <c r="U118" t="s">
        <v>202</v>
      </c>
      <c r="AB118" s="74" t="s">
        <v>74</v>
      </c>
      <c r="AC118" s="107">
        <v>0</v>
      </c>
      <c r="AD118" s="107">
        <f t="shared" si="20"/>
        <v>0</v>
      </c>
      <c r="AE118" s="107">
        <f t="shared" si="21"/>
        <v>0</v>
      </c>
      <c r="AF118" s="107"/>
      <c r="AG118" s="107"/>
      <c r="AH118" s="107"/>
    </row>
    <row r="119" spans="1:35" ht="15.6" x14ac:dyDescent="0.3">
      <c r="A119" s="8">
        <v>3</v>
      </c>
      <c r="B119" s="9" t="s">
        <v>29</v>
      </c>
      <c r="C119" s="10">
        <v>19</v>
      </c>
      <c r="D119" s="10">
        <v>100</v>
      </c>
      <c r="E119" s="14">
        <f t="shared" si="22"/>
        <v>0.19</v>
      </c>
      <c r="F119" s="6"/>
      <c r="G119" s="12">
        <v>1</v>
      </c>
      <c r="H119" s="13">
        <f t="shared" si="23"/>
        <v>0.19</v>
      </c>
      <c r="I119" s="64"/>
      <c r="AB119" s="74" t="s">
        <v>182</v>
      </c>
      <c r="AC119" s="107">
        <v>0</v>
      </c>
      <c r="AD119" s="107">
        <f t="shared" si="20"/>
        <v>0</v>
      </c>
      <c r="AE119" s="107">
        <f t="shared" si="21"/>
        <v>0</v>
      </c>
      <c r="AF119" s="107"/>
      <c r="AG119" s="107"/>
      <c r="AH119" s="107"/>
    </row>
    <row r="120" spans="1:35" ht="15.6" x14ac:dyDescent="0.3">
      <c r="A120" s="8">
        <v>4</v>
      </c>
      <c r="B120" s="9" t="s">
        <v>34</v>
      </c>
      <c r="C120" s="10">
        <v>4.5999999999999996</v>
      </c>
      <c r="D120" s="10">
        <v>1500</v>
      </c>
      <c r="E120" s="14">
        <f t="shared" si="22"/>
        <v>3.0666666666666663E-3</v>
      </c>
      <c r="F120" s="6"/>
      <c r="G120" s="12">
        <v>100</v>
      </c>
      <c r="H120" s="13">
        <f t="shared" si="23"/>
        <v>0.30666666666666664</v>
      </c>
      <c r="I120" s="64"/>
      <c r="AB120" s="74" t="s">
        <v>33</v>
      </c>
      <c r="AC120" s="107">
        <v>0</v>
      </c>
      <c r="AD120" s="107">
        <f t="shared" si="20"/>
        <v>0</v>
      </c>
      <c r="AE120" s="107">
        <f t="shared" si="21"/>
        <v>0</v>
      </c>
      <c r="AF120" s="107"/>
      <c r="AG120" s="107"/>
      <c r="AH120" s="107"/>
    </row>
    <row r="121" spans="1:35" ht="15.6" x14ac:dyDescent="0.3">
      <c r="A121" s="8">
        <v>5</v>
      </c>
      <c r="B121" s="9" t="s">
        <v>150</v>
      </c>
      <c r="C121" s="10">
        <v>45</v>
      </c>
      <c r="D121" s="10">
        <v>800</v>
      </c>
      <c r="E121" s="14">
        <f t="shared" si="22"/>
        <v>5.6250000000000001E-2</v>
      </c>
      <c r="F121" s="6"/>
      <c r="G121" s="12">
        <v>30</v>
      </c>
      <c r="H121" s="13">
        <f t="shared" si="23"/>
        <v>1.6875</v>
      </c>
      <c r="I121" s="64"/>
      <c r="AB121" s="74" t="s">
        <v>77</v>
      </c>
      <c r="AC121" s="107">
        <v>0</v>
      </c>
      <c r="AD121" s="107">
        <f t="shared" si="20"/>
        <v>0</v>
      </c>
      <c r="AE121" s="107">
        <f t="shared" si="21"/>
        <v>0</v>
      </c>
      <c r="AF121" s="107"/>
      <c r="AG121" s="107"/>
      <c r="AH121" s="107"/>
    </row>
    <row r="122" spans="1:35" ht="15.6" x14ac:dyDescent="0.3">
      <c r="A122" s="8">
        <v>6</v>
      </c>
      <c r="B122" s="9" t="s">
        <v>153</v>
      </c>
      <c r="C122" s="10">
        <v>27</v>
      </c>
      <c r="D122" s="10">
        <v>250</v>
      </c>
      <c r="E122" s="14">
        <f t="shared" si="22"/>
        <v>0.108</v>
      </c>
      <c r="F122" s="6"/>
      <c r="G122" s="12">
        <v>10</v>
      </c>
      <c r="H122" s="13">
        <f t="shared" si="23"/>
        <v>1.08</v>
      </c>
      <c r="I122" s="64"/>
      <c r="AB122" s="74" t="s">
        <v>38</v>
      </c>
      <c r="AC122" s="107">
        <v>0</v>
      </c>
      <c r="AD122" s="107">
        <f t="shared" si="20"/>
        <v>0</v>
      </c>
      <c r="AE122" s="107">
        <f t="shared" si="21"/>
        <v>0</v>
      </c>
      <c r="AF122" s="107"/>
      <c r="AG122" s="107"/>
      <c r="AH122" s="107"/>
    </row>
    <row r="123" spans="1:35" ht="15.6" x14ac:dyDescent="0.3">
      <c r="A123" s="8">
        <v>7</v>
      </c>
      <c r="B123" s="9"/>
      <c r="C123" s="10"/>
      <c r="D123" s="10"/>
      <c r="E123" s="14"/>
      <c r="F123" s="6"/>
      <c r="G123" s="12"/>
      <c r="H123" s="13"/>
      <c r="I123" s="64"/>
      <c r="AB123" s="74" t="s">
        <v>126</v>
      </c>
      <c r="AC123" s="107">
        <v>0</v>
      </c>
      <c r="AD123" s="107">
        <f t="shared" si="20"/>
        <v>0</v>
      </c>
      <c r="AE123" s="107">
        <f t="shared" si="21"/>
        <v>0</v>
      </c>
      <c r="AF123" s="107"/>
      <c r="AG123" s="107"/>
      <c r="AH123" s="107"/>
    </row>
    <row r="124" spans="1:35" ht="15.6" x14ac:dyDescent="0.3">
      <c r="A124" s="8">
        <v>8</v>
      </c>
      <c r="B124" s="9"/>
      <c r="C124" s="10"/>
      <c r="D124" s="10"/>
      <c r="E124" s="14"/>
      <c r="F124" s="6"/>
      <c r="G124" s="12"/>
      <c r="H124" s="13"/>
      <c r="I124" s="64"/>
      <c r="AB124" s="74" t="s">
        <v>110</v>
      </c>
      <c r="AC124" s="107">
        <v>0</v>
      </c>
      <c r="AD124" s="107">
        <f t="shared" si="20"/>
        <v>0</v>
      </c>
      <c r="AE124" s="107">
        <f t="shared" si="21"/>
        <v>0</v>
      </c>
      <c r="AF124" s="107"/>
      <c r="AG124" s="107"/>
      <c r="AH124" s="107"/>
    </row>
    <row r="125" spans="1:35" ht="15.6" x14ac:dyDescent="0.3">
      <c r="A125" s="8">
        <v>9</v>
      </c>
      <c r="B125" s="9"/>
      <c r="C125" s="10"/>
      <c r="D125" s="10"/>
      <c r="E125" s="14"/>
      <c r="F125" s="6"/>
      <c r="G125" s="12"/>
      <c r="H125" s="13"/>
      <c r="I125" s="64"/>
      <c r="AB125" s="98" t="s">
        <v>185</v>
      </c>
      <c r="AC125" s="107">
        <v>0</v>
      </c>
      <c r="AD125" s="107">
        <f t="shared" si="20"/>
        <v>0</v>
      </c>
      <c r="AE125" s="107">
        <f t="shared" si="21"/>
        <v>0</v>
      </c>
      <c r="AF125" s="107"/>
      <c r="AG125" s="107" t="s">
        <v>208</v>
      </c>
      <c r="AH125" s="107"/>
    </row>
    <row r="126" spans="1:35" ht="16.2" thickBot="1" x14ac:dyDescent="0.35">
      <c r="A126" s="16">
        <v>10</v>
      </c>
      <c r="B126" s="17"/>
      <c r="C126" s="18"/>
      <c r="D126" s="18"/>
      <c r="E126" s="19"/>
      <c r="F126" s="6"/>
      <c r="G126" s="12"/>
      <c r="H126" s="13"/>
      <c r="I126" s="64"/>
      <c r="AB126" s="100" t="s">
        <v>186</v>
      </c>
      <c r="AC126" s="107">
        <v>0</v>
      </c>
      <c r="AD126" s="107">
        <f t="shared" si="20"/>
        <v>0</v>
      </c>
      <c r="AE126" s="107">
        <f t="shared" si="21"/>
        <v>0</v>
      </c>
      <c r="AF126" s="107"/>
      <c r="AG126" s="107">
        <v>22</v>
      </c>
      <c r="AH126" s="107">
        <v>0.6</v>
      </c>
    </row>
    <row r="127" spans="1:35" ht="16.2" thickBot="1" x14ac:dyDescent="0.35">
      <c r="A127" s="65"/>
      <c r="B127" s="6"/>
      <c r="C127" s="6"/>
      <c r="D127" s="6"/>
      <c r="E127" s="6"/>
      <c r="F127" s="6"/>
      <c r="G127" s="20" t="s">
        <v>18</v>
      </c>
      <c r="H127" s="73">
        <f>SUM(H117:H126)</f>
        <v>12.824166666666665</v>
      </c>
      <c r="I127" s="64"/>
      <c r="AC127" s="107">
        <v>0</v>
      </c>
      <c r="AD127" s="107">
        <f>SUM(AD114:AD126)</f>
        <v>0</v>
      </c>
      <c r="AE127" s="107">
        <f>SUM(AE114:AE126)</f>
        <v>0</v>
      </c>
      <c r="AF127" s="107"/>
      <c r="AG127" s="107">
        <f>AG126*AE127</f>
        <v>0</v>
      </c>
      <c r="AH127" s="107">
        <f>AH126*AG127</f>
        <v>0</v>
      </c>
      <c r="AI127" s="107"/>
    </row>
    <row r="128" spans="1:35" ht="16.2" thickBot="1" x14ac:dyDescent="0.35">
      <c r="A128" s="65"/>
      <c r="B128" s="6"/>
      <c r="C128" s="6"/>
      <c r="D128" s="6"/>
      <c r="E128" s="6"/>
      <c r="F128" s="6"/>
      <c r="G128" s="6"/>
      <c r="H128" s="6"/>
      <c r="I128" s="64"/>
    </row>
    <row r="129" spans="1:33" ht="15.6" x14ac:dyDescent="0.3">
      <c r="A129" s="110" t="s">
        <v>19</v>
      </c>
      <c r="B129" s="111"/>
      <c r="C129" s="111"/>
      <c r="D129" s="111"/>
      <c r="E129" s="111"/>
      <c r="F129" s="111"/>
      <c r="G129" s="111"/>
      <c r="H129" s="112"/>
      <c r="I129" s="64"/>
      <c r="AG129" s="107">
        <f>AG127-AH127</f>
        <v>0</v>
      </c>
    </row>
    <row r="130" spans="1:33" ht="15.6" x14ac:dyDescent="0.3">
      <c r="A130" s="113" t="s">
        <v>20</v>
      </c>
      <c r="B130" s="114"/>
      <c r="C130" s="115"/>
      <c r="D130" s="150">
        <f>H127</f>
        <v>12.824166666666665</v>
      </c>
      <c r="E130" s="151"/>
      <c r="F130" s="117" t="s">
        <v>21</v>
      </c>
      <c r="G130" s="118"/>
      <c r="H130" s="71">
        <f>D130*30%+D130</f>
        <v>16.671416666666666</v>
      </c>
      <c r="I130" s="64"/>
    </row>
    <row r="131" spans="1:33" ht="16.2" thickBot="1" x14ac:dyDescent="0.35">
      <c r="A131" s="119" t="s">
        <v>22</v>
      </c>
      <c r="B131" s="120"/>
      <c r="C131" s="121"/>
      <c r="D131" s="148">
        <f>H130</f>
        <v>16.671416666666666</v>
      </c>
      <c r="E131" s="149"/>
      <c r="F131" s="123">
        <v>1.6</v>
      </c>
      <c r="G131" s="124"/>
      <c r="H131" s="25">
        <f>D131*F131</f>
        <v>26.674266666666668</v>
      </c>
      <c r="I131" s="66"/>
    </row>
    <row r="133" spans="1:33" ht="15" thickBot="1" x14ac:dyDescent="0.35"/>
    <row r="134" spans="1:33" ht="15.6" x14ac:dyDescent="0.3">
      <c r="A134" s="125" t="s">
        <v>9</v>
      </c>
      <c r="B134" s="127" t="s">
        <v>10</v>
      </c>
      <c r="C134" s="127" t="s">
        <v>11</v>
      </c>
      <c r="D134" s="5" t="s">
        <v>12</v>
      </c>
      <c r="E134" s="129" t="s">
        <v>13</v>
      </c>
      <c r="F134" s="63"/>
      <c r="G134" s="131" t="s">
        <v>14</v>
      </c>
      <c r="H134" s="133" t="s">
        <v>15</v>
      </c>
      <c r="I134" s="152" t="s">
        <v>204</v>
      </c>
    </row>
    <row r="135" spans="1:33" ht="15.6" x14ac:dyDescent="0.3">
      <c r="A135" s="126"/>
      <c r="B135" s="128"/>
      <c r="C135" s="128"/>
      <c r="D135" s="7" t="s">
        <v>16</v>
      </c>
      <c r="E135" s="130"/>
      <c r="F135" s="6"/>
      <c r="G135" s="132"/>
      <c r="H135" s="134"/>
      <c r="I135" s="153"/>
    </row>
    <row r="136" spans="1:33" ht="15.6" x14ac:dyDescent="0.3">
      <c r="A136" s="8">
        <v>1</v>
      </c>
      <c r="B136" s="9" t="s">
        <v>76</v>
      </c>
      <c r="C136" s="10">
        <v>700</v>
      </c>
      <c r="D136" s="10">
        <v>1000</v>
      </c>
      <c r="E136" s="11">
        <f t="shared" ref="E136:E142" si="24">C136/D136</f>
        <v>0.7</v>
      </c>
      <c r="F136" s="6"/>
      <c r="G136" s="12">
        <v>18</v>
      </c>
      <c r="H136" s="13">
        <f t="shared" ref="H136:H142" si="25">G136*E136</f>
        <v>12.6</v>
      </c>
      <c r="I136" s="64"/>
    </row>
    <row r="137" spans="1:33" ht="15.6" x14ac:dyDescent="0.3">
      <c r="A137" s="8">
        <v>2</v>
      </c>
      <c r="B137" s="9" t="s">
        <v>35</v>
      </c>
      <c r="C137" s="10">
        <v>100</v>
      </c>
      <c r="D137" s="10">
        <v>50</v>
      </c>
      <c r="E137" s="14">
        <f t="shared" si="24"/>
        <v>2</v>
      </c>
      <c r="F137" s="6"/>
      <c r="G137" s="12">
        <v>1</v>
      </c>
      <c r="H137" s="15">
        <f t="shared" si="25"/>
        <v>2</v>
      </c>
      <c r="I137" s="64"/>
    </row>
    <row r="138" spans="1:33" ht="15.6" x14ac:dyDescent="0.3">
      <c r="A138" s="8">
        <v>3</v>
      </c>
      <c r="B138" s="9" t="s">
        <v>29</v>
      </c>
      <c r="C138" s="10">
        <v>19</v>
      </c>
      <c r="D138" s="10">
        <v>100</v>
      </c>
      <c r="E138" s="14">
        <f t="shared" si="24"/>
        <v>0.19</v>
      </c>
      <c r="F138" s="6"/>
      <c r="G138" s="12">
        <v>1</v>
      </c>
      <c r="H138" s="13">
        <f t="shared" si="25"/>
        <v>0.19</v>
      </c>
      <c r="I138" s="64"/>
    </row>
    <row r="139" spans="1:33" ht="15.6" x14ac:dyDescent="0.3">
      <c r="A139" s="8">
        <v>4</v>
      </c>
      <c r="B139" s="9" t="s">
        <v>34</v>
      </c>
      <c r="C139" s="10">
        <v>4.5999999999999996</v>
      </c>
      <c r="D139" s="10">
        <v>1500</v>
      </c>
      <c r="E139" s="14">
        <f t="shared" si="24"/>
        <v>3.0666666666666663E-3</v>
      </c>
      <c r="F139" s="6"/>
      <c r="G139" s="12">
        <v>30</v>
      </c>
      <c r="H139" s="13">
        <f t="shared" si="25"/>
        <v>9.1999999999999985E-2</v>
      </c>
      <c r="I139" s="64"/>
    </row>
    <row r="140" spans="1:33" ht="15.6" x14ac:dyDescent="0.3">
      <c r="A140" s="8">
        <v>5</v>
      </c>
      <c r="B140" s="9" t="s">
        <v>205</v>
      </c>
      <c r="C140" s="10">
        <v>205</v>
      </c>
      <c r="D140" s="10">
        <v>750</v>
      </c>
      <c r="E140" s="14">
        <f t="shared" si="24"/>
        <v>0.27333333333333332</v>
      </c>
      <c r="F140" s="6"/>
      <c r="G140" s="12">
        <v>30</v>
      </c>
      <c r="H140" s="13">
        <f t="shared" si="25"/>
        <v>8.1999999999999993</v>
      </c>
      <c r="I140" s="64"/>
    </row>
    <row r="141" spans="1:33" ht="15.6" x14ac:dyDescent="0.3">
      <c r="A141" s="8">
        <v>6</v>
      </c>
      <c r="B141" s="9" t="s">
        <v>153</v>
      </c>
      <c r="C141" s="10">
        <v>27</v>
      </c>
      <c r="D141" s="10">
        <v>250</v>
      </c>
      <c r="E141" s="14">
        <f t="shared" si="24"/>
        <v>0.108</v>
      </c>
      <c r="F141" s="6"/>
      <c r="G141" s="12">
        <v>10</v>
      </c>
      <c r="H141" s="13">
        <f t="shared" si="25"/>
        <v>1.08</v>
      </c>
      <c r="I141" s="64"/>
    </row>
    <row r="142" spans="1:33" ht="15.6" x14ac:dyDescent="0.3">
      <c r="A142" s="8">
        <v>7</v>
      </c>
      <c r="B142" s="9" t="s">
        <v>51</v>
      </c>
      <c r="C142" s="10">
        <v>8</v>
      </c>
      <c r="D142" s="10">
        <v>325</v>
      </c>
      <c r="E142" s="14">
        <f t="shared" si="24"/>
        <v>2.4615384615384615E-2</v>
      </c>
      <c r="F142" s="6"/>
      <c r="G142" s="12">
        <v>50</v>
      </c>
      <c r="H142" s="13">
        <f t="shared" si="25"/>
        <v>1.2307692307692308</v>
      </c>
      <c r="I142" s="64"/>
    </row>
    <row r="143" spans="1:33" ht="15.6" x14ac:dyDescent="0.3">
      <c r="A143" s="8">
        <v>8</v>
      </c>
      <c r="B143" s="9"/>
      <c r="C143" s="10"/>
      <c r="D143" s="10"/>
      <c r="E143" s="14"/>
      <c r="F143" s="6"/>
      <c r="G143" s="12"/>
      <c r="H143" s="13"/>
      <c r="I143" s="64"/>
    </row>
    <row r="144" spans="1:33" ht="15.6" x14ac:dyDescent="0.3">
      <c r="A144" s="8">
        <v>9</v>
      </c>
      <c r="B144" s="9"/>
      <c r="C144" s="10"/>
      <c r="D144" s="10"/>
      <c r="E144" s="14"/>
      <c r="F144" s="6"/>
      <c r="G144" s="12"/>
      <c r="H144" s="13"/>
      <c r="I144" s="64"/>
    </row>
    <row r="145" spans="1:9" ht="16.2" thickBot="1" x14ac:dyDescent="0.35">
      <c r="A145" s="16">
        <v>10</v>
      </c>
      <c r="B145" s="17"/>
      <c r="C145" s="18"/>
      <c r="D145" s="18"/>
      <c r="E145" s="19"/>
      <c r="F145" s="6"/>
      <c r="G145" s="12"/>
      <c r="H145" s="13"/>
      <c r="I145" s="64"/>
    </row>
    <row r="146" spans="1:9" ht="16.2" thickBot="1" x14ac:dyDescent="0.35">
      <c r="A146" s="65"/>
      <c r="B146" s="6"/>
      <c r="C146" s="6"/>
      <c r="D146" s="6"/>
      <c r="E146" s="6"/>
      <c r="F146" s="6"/>
      <c r="G146" s="20" t="s">
        <v>18</v>
      </c>
      <c r="H146" s="73">
        <f>SUM(H136:H145)</f>
        <v>25.392769230769229</v>
      </c>
      <c r="I146" s="64"/>
    </row>
    <row r="147" spans="1:9" ht="16.2" thickBot="1" x14ac:dyDescent="0.35">
      <c r="A147" s="65"/>
      <c r="B147" s="6"/>
      <c r="C147" s="6"/>
      <c r="D147" s="6"/>
      <c r="E147" s="6"/>
      <c r="F147" s="6"/>
      <c r="G147" s="6"/>
      <c r="H147" s="6"/>
      <c r="I147" s="64"/>
    </row>
    <row r="148" spans="1:9" ht="15.6" x14ac:dyDescent="0.3">
      <c r="A148" s="110" t="s">
        <v>19</v>
      </c>
      <c r="B148" s="111"/>
      <c r="C148" s="111"/>
      <c r="D148" s="111"/>
      <c r="E148" s="111"/>
      <c r="F148" s="111"/>
      <c r="G148" s="111"/>
      <c r="H148" s="112"/>
      <c r="I148" s="64"/>
    </row>
    <row r="149" spans="1:9" ht="15.6" x14ac:dyDescent="0.3">
      <c r="A149" s="113" t="s">
        <v>20</v>
      </c>
      <c r="B149" s="114"/>
      <c r="C149" s="115"/>
      <c r="D149" s="150">
        <f>H146</f>
        <v>25.392769230769229</v>
      </c>
      <c r="E149" s="151"/>
      <c r="F149" s="117" t="s">
        <v>21</v>
      </c>
      <c r="G149" s="118"/>
      <c r="H149" s="71">
        <f>D149*30%+D149</f>
        <v>33.010599999999997</v>
      </c>
      <c r="I149" s="64"/>
    </row>
    <row r="150" spans="1:9" ht="16.2" thickBot="1" x14ac:dyDescent="0.35">
      <c r="A150" s="119" t="s">
        <v>22</v>
      </c>
      <c r="B150" s="120"/>
      <c r="C150" s="121"/>
      <c r="D150" s="148">
        <f>H149</f>
        <v>33.010599999999997</v>
      </c>
      <c r="E150" s="149"/>
      <c r="F150" s="123">
        <v>1.6</v>
      </c>
      <c r="G150" s="124"/>
      <c r="H150" s="25">
        <f>D150*F150</f>
        <v>52.816959999999995</v>
      </c>
      <c r="I150" s="66"/>
    </row>
    <row r="157" spans="1:9" ht="15.6" x14ac:dyDescent="0.3">
      <c r="A157" s="4"/>
      <c r="B157" s="4"/>
      <c r="C157" s="4"/>
      <c r="D157" s="4"/>
      <c r="E157" s="4"/>
      <c r="F157" s="4"/>
      <c r="G157" s="4"/>
      <c r="H157" s="4"/>
      <c r="I157" s="4"/>
    </row>
    <row r="175" spans="1:9" ht="15.6" x14ac:dyDescent="0.3">
      <c r="A175" s="26"/>
      <c r="B175" s="26"/>
      <c r="C175" s="26"/>
      <c r="D175" s="27"/>
      <c r="E175" s="27"/>
      <c r="F175" s="22"/>
      <c r="G175" s="22"/>
      <c r="H175" s="28"/>
      <c r="I175" s="6"/>
    </row>
    <row r="195" spans="1:9" ht="15.6" x14ac:dyDescent="0.3">
      <c r="A195" s="26"/>
      <c r="B195" s="26"/>
      <c r="C195" s="26"/>
      <c r="D195" s="27"/>
      <c r="E195" s="27"/>
      <c r="F195" s="22"/>
      <c r="G195" s="22"/>
      <c r="H195" s="28"/>
      <c r="I195" s="6"/>
    </row>
    <row r="235" spans="1:9" ht="15.6" x14ac:dyDescent="0.3">
      <c r="A235" s="26"/>
      <c r="B235" s="26"/>
      <c r="C235" s="26"/>
      <c r="D235" s="27"/>
      <c r="E235" s="27"/>
      <c r="F235" s="22"/>
      <c r="G235" s="22"/>
      <c r="H235" s="28"/>
      <c r="I235" s="6"/>
    </row>
  </sheetData>
  <mergeCells count="195">
    <mergeCell ref="A150:C150"/>
    <mergeCell ref="D150:E150"/>
    <mergeCell ref="F150:G150"/>
    <mergeCell ref="A134:A135"/>
    <mergeCell ref="B134:B135"/>
    <mergeCell ref="C134:C135"/>
    <mergeCell ref="E134:E135"/>
    <mergeCell ref="G134:G135"/>
    <mergeCell ref="H134:H135"/>
    <mergeCell ref="I134:I135"/>
    <mergeCell ref="A148:H148"/>
    <mergeCell ref="A149:C149"/>
    <mergeCell ref="D149:E149"/>
    <mergeCell ref="F149:G149"/>
    <mergeCell ref="A131:C131"/>
    <mergeCell ref="D131:E131"/>
    <mergeCell ref="F131:G131"/>
    <mergeCell ref="A115:A116"/>
    <mergeCell ref="B115:B116"/>
    <mergeCell ref="C115:C116"/>
    <mergeCell ref="E115:E116"/>
    <mergeCell ref="G115:G116"/>
    <mergeCell ref="H115:H116"/>
    <mergeCell ref="I115:I116"/>
    <mergeCell ref="A129:H129"/>
    <mergeCell ref="A130:C130"/>
    <mergeCell ref="D130:E130"/>
    <mergeCell ref="F130:G130"/>
    <mergeCell ref="H96:H97"/>
    <mergeCell ref="I96:I97"/>
    <mergeCell ref="A110:H110"/>
    <mergeCell ref="I58:I59"/>
    <mergeCell ref="A111:C111"/>
    <mergeCell ref="D111:E111"/>
    <mergeCell ref="F111:G111"/>
    <mergeCell ref="A112:C112"/>
    <mergeCell ref="D112:E112"/>
    <mergeCell ref="F112:G112"/>
    <mergeCell ref="A96:A97"/>
    <mergeCell ref="B96:B97"/>
    <mergeCell ref="C96:C97"/>
    <mergeCell ref="E96:E97"/>
    <mergeCell ref="G96:G97"/>
    <mergeCell ref="D74:E74"/>
    <mergeCell ref="F74:G74"/>
    <mergeCell ref="A73:C73"/>
    <mergeCell ref="D73:E73"/>
    <mergeCell ref="I77:I78"/>
    <mergeCell ref="H77:H78"/>
    <mergeCell ref="F93:G93"/>
    <mergeCell ref="D93:E93"/>
    <mergeCell ref="H58:H59"/>
    <mergeCell ref="J91:Q91"/>
    <mergeCell ref="J92:L92"/>
    <mergeCell ref="M92:N92"/>
    <mergeCell ref="O92:P92"/>
    <mergeCell ref="A77:A78"/>
    <mergeCell ref="B77:B78"/>
    <mergeCell ref="C77:C78"/>
    <mergeCell ref="E77:E78"/>
    <mergeCell ref="G77:G78"/>
    <mergeCell ref="F92:G92"/>
    <mergeCell ref="D92:E92"/>
    <mergeCell ref="A92:C92"/>
    <mergeCell ref="Q77:Q78"/>
    <mergeCell ref="A93:C93"/>
    <mergeCell ref="A91:H91"/>
    <mergeCell ref="A74:C74"/>
    <mergeCell ref="A72:H72"/>
    <mergeCell ref="F73:G73"/>
    <mergeCell ref="A58:A59"/>
    <mergeCell ref="B58:B59"/>
    <mergeCell ref="C58:C59"/>
    <mergeCell ref="E58:E59"/>
    <mergeCell ref="J93:L93"/>
    <mergeCell ref="I20:I21"/>
    <mergeCell ref="A34:H34"/>
    <mergeCell ref="A35:C35"/>
    <mergeCell ref="E20:E21"/>
    <mergeCell ref="G20:G21"/>
    <mergeCell ref="A36:C36"/>
    <mergeCell ref="D36:E36"/>
    <mergeCell ref="F36:G36"/>
    <mergeCell ref="H20:H21"/>
    <mergeCell ref="A20:A21"/>
    <mergeCell ref="B20:B21"/>
    <mergeCell ref="C20:C21"/>
    <mergeCell ref="D35:E35"/>
    <mergeCell ref="F35:G35"/>
    <mergeCell ref="L20:L21"/>
    <mergeCell ref="I39:I40"/>
    <mergeCell ref="A53:H53"/>
    <mergeCell ref="A54:C54"/>
    <mergeCell ref="J39:J40"/>
    <mergeCell ref="K39:K40"/>
    <mergeCell ref="L39:L40"/>
    <mergeCell ref="H39:H40"/>
    <mergeCell ref="A39:A40"/>
    <mergeCell ref="I1:I2"/>
    <mergeCell ref="A15:H15"/>
    <mergeCell ref="A16:C16"/>
    <mergeCell ref="D16:E16"/>
    <mergeCell ref="F16:G16"/>
    <mergeCell ref="A17:C17"/>
    <mergeCell ref="D17:E17"/>
    <mergeCell ref="F17:G17"/>
    <mergeCell ref="A1:A2"/>
    <mergeCell ref="B1:B2"/>
    <mergeCell ref="C1:C2"/>
    <mergeCell ref="E1:E2"/>
    <mergeCell ref="G1:G2"/>
    <mergeCell ref="H1:H2"/>
    <mergeCell ref="AA94:AA95"/>
    <mergeCell ref="R1:R2"/>
    <mergeCell ref="J15:Q15"/>
    <mergeCell ref="J16:L16"/>
    <mergeCell ref="M16:N16"/>
    <mergeCell ref="O16:P16"/>
    <mergeCell ref="J17:L17"/>
    <mergeCell ref="M17:N17"/>
    <mergeCell ref="O17:P17"/>
    <mergeCell ref="J1:J2"/>
    <mergeCell ref="K1:K2"/>
    <mergeCell ref="L1:L2"/>
    <mergeCell ref="N1:N2"/>
    <mergeCell ref="P1:P2"/>
    <mergeCell ref="Q1:Q2"/>
    <mergeCell ref="M93:N93"/>
    <mergeCell ref="O93:P93"/>
    <mergeCell ref="J34:Q34"/>
    <mergeCell ref="J36:L36"/>
    <mergeCell ref="M36:N36"/>
    <mergeCell ref="O36:P36"/>
    <mergeCell ref="J55:L55"/>
    <mergeCell ref="R77:R78"/>
    <mergeCell ref="N20:N21"/>
    <mergeCell ref="T110:V110"/>
    <mergeCell ref="W110:X110"/>
    <mergeCell ref="Y110:Z110"/>
    <mergeCell ref="T94:T95"/>
    <mergeCell ref="U94:U95"/>
    <mergeCell ref="V94:V95"/>
    <mergeCell ref="X94:X95"/>
    <mergeCell ref="Z94:Z95"/>
    <mergeCell ref="J58:J59"/>
    <mergeCell ref="K58:K59"/>
    <mergeCell ref="L58:L59"/>
    <mergeCell ref="N58:N59"/>
    <mergeCell ref="P58:P59"/>
    <mergeCell ref="Q58:Q59"/>
    <mergeCell ref="T108:AA108"/>
    <mergeCell ref="T109:V109"/>
    <mergeCell ref="W109:X109"/>
    <mergeCell ref="Y109:Z109"/>
    <mergeCell ref="J73:L73"/>
    <mergeCell ref="J77:J78"/>
    <mergeCell ref="K77:K78"/>
    <mergeCell ref="L77:L78"/>
    <mergeCell ref="N77:N78"/>
    <mergeCell ref="P77:P78"/>
    <mergeCell ref="P20:P21"/>
    <mergeCell ref="Q20:Q21"/>
    <mergeCell ref="R20:R21"/>
    <mergeCell ref="J20:J21"/>
    <mergeCell ref="K20:K21"/>
    <mergeCell ref="R58:R59"/>
    <mergeCell ref="J72:Q72"/>
    <mergeCell ref="R39:R40"/>
    <mergeCell ref="J35:L35"/>
    <mergeCell ref="M35:N35"/>
    <mergeCell ref="O35:P35"/>
    <mergeCell ref="J53:Q53"/>
    <mergeCell ref="J74:L74"/>
    <mergeCell ref="M74:N74"/>
    <mergeCell ref="O74:P74"/>
    <mergeCell ref="D54:E54"/>
    <mergeCell ref="F54:G54"/>
    <mergeCell ref="A55:C55"/>
    <mergeCell ref="D55:E55"/>
    <mergeCell ref="J54:L54"/>
    <mergeCell ref="M54:N54"/>
    <mergeCell ref="O54:P54"/>
    <mergeCell ref="F55:G55"/>
    <mergeCell ref="G58:G59"/>
    <mergeCell ref="B39:B40"/>
    <mergeCell ref="C39:C40"/>
    <mergeCell ref="E39:E40"/>
    <mergeCell ref="G39:G40"/>
    <mergeCell ref="M55:N55"/>
    <mergeCell ref="O55:P55"/>
    <mergeCell ref="Q39:Q40"/>
    <mergeCell ref="M73:N73"/>
    <mergeCell ref="O73:P73"/>
    <mergeCell ref="N39:N40"/>
    <mergeCell ref="P39:P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DD45-C445-40A8-8A63-28777EB92A44}">
  <dimension ref="A1:L36"/>
  <sheetViews>
    <sheetView topLeftCell="A5" zoomScale="60" zoomScaleNormal="60" workbookViewId="0">
      <selection activeCell="G21" sqref="G21"/>
    </sheetView>
  </sheetViews>
  <sheetFormatPr defaultRowHeight="34.200000000000003" x14ac:dyDescent="0.85"/>
  <cols>
    <col min="1" max="1" width="4.21875" style="84" bestFit="1" customWidth="1"/>
    <col min="2" max="2" width="52" style="84" bestFit="1" customWidth="1"/>
    <col min="3" max="3" width="12" style="84" bestFit="1" customWidth="1"/>
    <col min="4" max="4" width="10.77734375" style="84" customWidth="1"/>
    <col min="5" max="5" width="10.88671875" style="84" customWidth="1"/>
    <col min="6" max="6" width="17.5546875" style="84" customWidth="1"/>
    <col min="7" max="7" width="17.109375" style="84" customWidth="1"/>
    <col min="8" max="8" width="35.88671875" style="84" bestFit="1" customWidth="1"/>
    <col min="9" max="9" width="13.21875" style="84" customWidth="1"/>
    <col min="10" max="10" width="13.5546875" style="84" bestFit="1" customWidth="1"/>
    <col min="11" max="11" width="11.88671875" style="84" bestFit="1" customWidth="1"/>
    <col min="12" max="12" width="20" style="84" customWidth="1"/>
    <col min="13" max="16384" width="8.88671875" style="84"/>
  </cols>
  <sheetData>
    <row r="1" spans="1:12" ht="34.799999999999997" thickBot="1" x14ac:dyDescent="0.9">
      <c r="A1" s="156" t="s">
        <v>132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8"/>
    </row>
    <row r="2" spans="1:12" ht="34.799999999999997" x14ac:dyDescent="0.85">
      <c r="A2" s="159" t="s">
        <v>86</v>
      </c>
      <c r="B2" s="159"/>
      <c r="C2" s="161" t="s">
        <v>24</v>
      </c>
      <c r="D2" s="95" t="s">
        <v>129</v>
      </c>
      <c r="E2" s="95" t="s">
        <v>128</v>
      </c>
      <c r="F2" s="163" t="s">
        <v>130</v>
      </c>
      <c r="G2" s="165" t="s">
        <v>91</v>
      </c>
      <c r="H2" s="167" t="s">
        <v>192</v>
      </c>
      <c r="I2" s="169" t="s">
        <v>135</v>
      </c>
      <c r="J2" s="159" t="s">
        <v>122</v>
      </c>
      <c r="K2" s="159" t="s">
        <v>59</v>
      </c>
      <c r="L2" s="154" t="s">
        <v>134</v>
      </c>
    </row>
    <row r="3" spans="1:12" ht="34.799999999999997" x14ac:dyDescent="0.85">
      <c r="A3" s="160"/>
      <c r="B3" s="160"/>
      <c r="C3" s="162"/>
      <c r="D3" s="85">
        <v>0.3</v>
      </c>
      <c r="E3" s="85">
        <v>7.0000000000000007E-2</v>
      </c>
      <c r="F3" s="164"/>
      <c r="G3" s="166"/>
      <c r="H3" s="168"/>
      <c r="I3" s="170"/>
      <c r="J3" s="160"/>
      <c r="K3" s="160"/>
      <c r="L3" s="155"/>
    </row>
    <row r="4" spans="1:12" ht="34.799999999999997" x14ac:dyDescent="0.85">
      <c r="A4" s="88">
        <v>1</v>
      </c>
      <c r="B4" s="89" t="s">
        <v>172</v>
      </c>
      <c r="C4" s="90">
        <v>80</v>
      </c>
      <c r="D4" s="86">
        <f>C4*D3</f>
        <v>24</v>
      </c>
      <c r="E4" s="86">
        <f>D4*E3</f>
        <v>1.6800000000000002</v>
      </c>
      <c r="F4" s="91">
        <f>D4+E4</f>
        <v>25.68</v>
      </c>
      <c r="G4" s="92">
        <v>18.3</v>
      </c>
      <c r="H4" s="90">
        <f>F4+G4+L4</f>
        <v>44.980000000000004</v>
      </c>
      <c r="I4" s="93">
        <f>C4-H4</f>
        <v>35.019999999999996</v>
      </c>
      <c r="J4" s="87"/>
      <c r="K4" s="87">
        <v>30</v>
      </c>
      <c r="L4" s="87">
        <v>1</v>
      </c>
    </row>
    <row r="5" spans="1:12" ht="34.799999999999997" x14ac:dyDescent="0.85">
      <c r="A5" s="88">
        <v>2</v>
      </c>
      <c r="B5" s="89" t="s">
        <v>173</v>
      </c>
      <c r="C5" s="90">
        <v>95</v>
      </c>
      <c r="D5" s="86">
        <f>C5*D3</f>
        <v>28.5</v>
      </c>
      <c r="E5" s="86">
        <f>D5*E3</f>
        <v>1.9950000000000001</v>
      </c>
      <c r="F5" s="91">
        <f t="shared" ref="F5:F29" si="0">D5+E5</f>
        <v>30.495000000000001</v>
      </c>
      <c r="G5" s="92">
        <v>31.33</v>
      </c>
      <c r="H5" s="90">
        <f>F5+G5+L5</f>
        <v>62.825000000000003</v>
      </c>
      <c r="I5" s="93">
        <f t="shared" ref="I5:I34" si="1">C5-H5</f>
        <v>32.174999999999997</v>
      </c>
      <c r="J5" s="87"/>
      <c r="K5" s="87"/>
      <c r="L5" s="87">
        <v>1</v>
      </c>
    </row>
    <row r="6" spans="1:12" ht="34.799999999999997" x14ac:dyDescent="0.85">
      <c r="A6" s="88">
        <v>3</v>
      </c>
      <c r="B6" s="89" t="s">
        <v>191</v>
      </c>
      <c r="C6" s="90">
        <v>95</v>
      </c>
      <c r="D6" s="86">
        <f>C6*D3</f>
        <v>28.5</v>
      </c>
      <c r="E6" s="86">
        <f>D6*E3</f>
        <v>1.9950000000000001</v>
      </c>
      <c r="F6" s="91">
        <f t="shared" si="0"/>
        <v>30.495000000000001</v>
      </c>
      <c r="G6" s="92">
        <v>31.33</v>
      </c>
      <c r="H6" s="90">
        <f>F6+G6+L6</f>
        <v>62.825000000000003</v>
      </c>
      <c r="I6" s="93">
        <f t="shared" si="1"/>
        <v>32.174999999999997</v>
      </c>
      <c r="J6" s="87"/>
      <c r="K6" s="87"/>
      <c r="L6" s="87">
        <v>1</v>
      </c>
    </row>
    <row r="7" spans="1:12" ht="34.799999999999997" x14ac:dyDescent="0.85">
      <c r="A7" s="88"/>
      <c r="B7" s="89"/>
      <c r="C7" s="90"/>
      <c r="D7" s="86"/>
      <c r="E7" s="86"/>
      <c r="F7" s="91"/>
      <c r="G7" s="92"/>
      <c r="H7" s="90"/>
      <c r="I7" s="93">
        <f t="shared" si="1"/>
        <v>0</v>
      </c>
      <c r="J7" s="87"/>
      <c r="K7" s="87"/>
      <c r="L7" s="87"/>
    </row>
    <row r="8" spans="1:12" ht="34.799999999999997" x14ac:dyDescent="0.85">
      <c r="A8" s="88">
        <v>4</v>
      </c>
      <c r="B8" s="89" t="s">
        <v>36</v>
      </c>
      <c r="C8" s="90">
        <v>70</v>
      </c>
      <c r="D8" s="86">
        <f>C8*D3</f>
        <v>21</v>
      </c>
      <c r="E8" s="86">
        <f>D8*E3</f>
        <v>1.4700000000000002</v>
      </c>
      <c r="F8" s="91">
        <f t="shared" si="0"/>
        <v>22.47</v>
      </c>
      <c r="G8" s="92">
        <v>21.88</v>
      </c>
      <c r="H8" s="90">
        <f>F8+G8+L8</f>
        <v>45.349999999999994</v>
      </c>
      <c r="I8" s="93">
        <f t="shared" si="1"/>
        <v>24.650000000000006</v>
      </c>
      <c r="J8" s="87">
        <v>5</v>
      </c>
      <c r="K8" s="87">
        <v>30</v>
      </c>
      <c r="L8" s="87">
        <v>1</v>
      </c>
    </row>
    <row r="9" spans="1:12" ht="34.799999999999997" x14ac:dyDescent="0.85">
      <c r="A9" s="88">
        <v>5</v>
      </c>
      <c r="B9" s="89" t="s">
        <v>72</v>
      </c>
      <c r="C9" s="90">
        <v>70</v>
      </c>
      <c r="D9" s="86">
        <f>C9*D3</f>
        <v>21</v>
      </c>
      <c r="E9" s="86">
        <f>D9*E3</f>
        <v>1.4700000000000002</v>
      </c>
      <c r="F9" s="91">
        <f t="shared" si="0"/>
        <v>22.47</v>
      </c>
      <c r="G9" s="92">
        <v>18.46</v>
      </c>
      <c r="H9" s="90">
        <f>F9+G9+L9</f>
        <v>41.93</v>
      </c>
      <c r="I9" s="93">
        <f t="shared" si="1"/>
        <v>28.07</v>
      </c>
      <c r="J9" s="87">
        <v>5</v>
      </c>
      <c r="K9" s="87">
        <v>30</v>
      </c>
      <c r="L9" s="87">
        <v>1</v>
      </c>
    </row>
    <row r="10" spans="1:12" ht="34.799999999999997" x14ac:dyDescent="0.85">
      <c r="A10" s="88">
        <v>6</v>
      </c>
      <c r="B10" s="89" t="s">
        <v>74</v>
      </c>
      <c r="C10" s="90">
        <v>80</v>
      </c>
      <c r="D10" s="86">
        <f>C10*D3</f>
        <v>24</v>
      </c>
      <c r="E10" s="86">
        <f>D10*E3</f>
        <v>1.6800000000000002</v>
      </c>
      <c r="F10" s="91">
        <f t="shared" si="0"/>
        <v>25.68</v>
      </c>
      <c r="G10" s="92">
        <v>18.884666666666664</v>
      </c>
      <c r="H10" s="90">
        <f>F10+G10+L10</f>
        <v>45.564666666666668</v>
      </c>
      <c r="I10" s="93">
        <f t="shared" si="1"/>
        <v>34.435333333333332</v>
      </c>
      <c r="J10" s="87">
        <v>5</v>
      </c>
      <c r="K10" s="87">
        <v>30</v>
      </c>
      <c r="L10" s="87">
        <v>1</v>
      </c>
    </row>
    <row r="11" spans="1:12" ht="34.799999999999997" x14ac:dyDescent="0.85">
      <c r="A11" s="88">
        <v>7</v>
      </c>
      <c r="B11" s="89" t="s">
        <v>181</v>
      </c>
      <c r="C11" s="90">
        <v>55</v>
      </c>
      <c r="D11" s="86">
        <f>C11*D3</f>
        <v>16.5</v>
      </c>
      <c r="E11" s="86">
        <f>D11*E3</f>
        <v>1.155</v>
      </c>
      <c r="F11" s="91">
        <f t="shared" si="0"/>
        <v>17.655000000000001</v>
      </c>
      <c r="G11" s="92">
        <v>15.528933333333331</v>
      </c>
      <c r="H11" s="90">
        <f>F11+G11+L11</f>
        <v>34.183933333333329</v>
      </c>
      <c r="I11" s="93">
        <f t="shared" si="1"/>
        <v>20.816066666666671</v>
      </c>
      <c r="J11" s="87"/>
      <c r="K11" s="87"/>
      <c r="L11" s="87">
        <v>1</v>
      </c>
    </row>
    <row r="12" spans="1:12" ht="34.799999999999997" x14ac:dyDescent="0.85">
      <c r="A12" s="88"/>
      <c r="B12" s="89"/>
      <c r="C12" s="90"/>
      <c r="D12" s="86"/>
      <c r="E12" s="86"/>
      <c r="F12" s="91"/>
      <c r="G12" s="92"/>
      <c r="H12" s="90"/>
      <c r="I12" s="93">
        <f t="shared" si="1"/>
        <v>0</v>
      </c>
      <c r="J12" s="87"/>
      <c r="K12" s="87"/>
      <c r="L12" s="87"/>
    </row>
    <row r="13" spans="1:12" ht="34.799999999999997" x14ac:dyDescent="0.85">
      <c r="A13" s="88">
        <v>8</v>
      </c>
      <c r="B13" s="89" t="s">
        <v>89</v>
      </c>
      <c r="C13" s="90">
        <v>65</v>
      </c>
      <c r="D13" s="86">
        <f>C13*D3</f>
        <v>19.5</v>
      </c>
      <c r="E13" s="86">
        <f>D13*E3</f>
        <v>1.3650000000000002</v>
      </c>
      <c r="F13" s="91">
        <f t="shared" si="0"/>
        <v>20.865000000000002</v>
      </c>
      <c r="G13" s="92">
        <v>21.189999999999998</v>
      </c>
      <c r="H13" s="90">
        <f>F13+G13+L13</f>
        <v>43.055</v>
      </c>
      <c r="I13" s="93">
        <f t="shared" si="1"/>
        <v>21.945</v>
      </c>
      <c r="J13" s="87">
        <v>5</v>
      </c>
      <c r="K13" s="87">
        <v>30</v>
      </c>
      <c r="L13" s="87">
        <v>1</v>
      </c>
    </row>
    <row r="14" spans="1:12" ht="34.799999999999997" x14ac:dyDescent="0.85">
      <c r="A14" s="88">
        <v>9</v>
      </c>
      <c r="B14" s="89" t="s">
        <v>38</v>
      </c>
      <c r="C14" s="90">
        <v>75</v>
      </c>
      <c r="D14" s="86">
        <f>C14*D3</f>
        <v>22.5</v>
      </c>
      <c r="E14" s="86">
        <f>D14*E3</f>
        <v>1.5750000000000002</v>
      </c>
      <c r="F14" s="91">
        <f t="shared" si="0"/>
        <v>24.074999999999999</v>
      </c>
      <c r="G14" s="92">
        <v>28.41</v>
      </c>
      <c r="H14" s="90">
        <f>F14+G14+L14</f>
        <v>53.484999999999999</v>
      </c>
      <c r="I14" s="93">
        <f t="shared" si="1"/>
        <v>21.515000000000001</v>
      </c>
      <c r="J14" s="87">
        <v>5</v>
      </c>
      <c r="K14" s="87">
        <v>30</v>
      </c>
      <c r="L14" s="87">
        <v>1</v>
      </c>
    </row>
    <row r="15" spans="1:12" ht="34.799999999999997" x14ac:dyDescent="0.85">
      <c r="A15" s="88">
        <v>10</v>
      </c>
      <c r="B15" s="89" t="s">
        <v>176</v>
      </c>
      <c r="C15" s="90">
        <v>85</v>
      </c>
      <c r="D15" s="86">
        <f>C15*D3</f>
        <v>25.5</v>
      </c>
      <c r="E15" s="86">
        <f>D15*E3</f>
        <v>1.7850000000000001</v>
      </c>
      <c r="F15" s="91">
        <f t="shared" si="0"/>
        <v>27.285</v>
      </c>
      <c r="G15" s="92">
        <v>33.321785714285717</v>
      </c>
      <c r="H15" s="90">
        <f>F15+G15+L15</f>
        <v>61.606785714285721</v>
      </c>
      <c r="I15" s="93">
        <f t="shared" si="1"/>
        <v>23.393214285714279</v>
      </c>
      <c r="J15" s="87">
        <v>5</v>
      </c>
      <c r="K15" s="87">
        <v>30</v>
      </c>
      <c r="L15" s="87">
        <v>1</v>
      </c>
    </row>
    <row r="16" spans="1:12" ht="34.799999999999997" x14ac:dyDescent="0.85">
      <c r="A16" s="88">
        <v>11</v>
      </c>
      <c r="B16" s="89" t="s">
        <v>177</v>
      </c>
      <c r="C16" s="90">
        <v>85</v>
      </c>
      <c r="D16" s="86">
        <f>C16*D3</f>
        <v>25.5</v>
      </c>
      <c r="E16" s="86">
        <f>D16*E3</f>
        <v>1.7850000000000001</v>
      </c>
      <c r="F16" s="91">
        <f t="shared" si="0"/>
        <v>27.285</v>
      </c>
      <c r="G16" s="92">
        <v>33.321785714285717</v>
      </c>
      <c r="H16" s="90">
        <f>F16+G16+L16</f>
        <v>61.606785714285721</v>
      </c>
      <c r="I16" s="93">
        <f t="shared" si="1"/>
        <v>23.393214285714279</v>
      </c>
      <c r="J16" s="87">
        <v>5</v>
      </c>
      <c r="K16" s="87">
        <v>30</v>
      </c>
      <c r="L16" s="87">
        <v>1</v>
      </c>
    </row>
    <row r="17" spans="1:12" ht="34.799999999999997" x14ac:dyDescent="0.85">
      <c r="A17" s="88">
        <v>12</v>
      </c>
      <c r="B17" s="89" t="s">
        <v>110</v>
      </c>
      <c r="C17" s="90">
        <v>85</v>
      </c>
      <c r="D17" s="86">
        <f>C17*D3</f>
        <v>25.5</v>
      </c>
      <c r="E17" s="86">
        <f>D17*E3</f>
        <v>1.7850000000000001</v>
      </c>
      <c r="F17" s="91">
        <f t="shared" si="0"/>
        <v>27.285</v>
      </c>
      <c r="G17" s="92">
        <v>34.963314285714283</v>
      </c>
      <c r="H17" s="90">
        <f>F17+G17+L17</f>
        <v>63.248314285714287</v>
      </c>
      <c r="I17" s="93">
        <f t="shared" si="1"/>
        <v>21.751685714285713</v>
      </c>
      <c r="J17" s="87">
        <v>5</v>
      </c>
      <c r="K17" s="87">
        <v>30</v>
      </c>
      <c r="L17" s="87">
        <v>1</v>
      </c>
    </row>
    <row r="18" spans="1:12" ht="34.799999999999997" x14ac:dyDescent="0.85">
      <c r="A18" s="88"/>
      <c r="B18" s="89"/>
      <c r="C18" s="90"/>
      <c r="D18" s="86"/>
      <c r="E18" s="86"/>
      <c r="F18" s="91"/>
      <c r="G18" s="92"/>
      <c r="H18" s="90"/>
      <c r="I18" s="93">
        <f t="shared" si="1"/>
        <v>0</v>
      </c>
      <c r="J18" s="87"/>
      <c r="K18" s="87"/>
      <c r="L18" s="87"/>
    </row>
    <row r="19" spans="1:12" ht="34.799999999999997" x14ac:dyDescent="0.85">
      <c r="A19" s="88">
        <v>13</v>
      </c>
      <c r="B19" s="89" t="s">
        <v>31</v>
      </c>
      <c r="C19" s="90">
        <v>65</v>
      </c>
      <c r="D19" s="86">
        <f>C19*D3</f>
        <v>19.5</v>
      </c>
      <c r="E19" s="86">
        <f>D19*E3</f>
        <v>1.3650000000000002</v>
      </c>
      <c r="F19" s="91">
        <f t="shared" si="0"/>
        <v>20.865000000000002</v>
      </c>
      <c r="G19" s="92">
        <v>28.25</v>
      </c>
      <c r="H19" s="90">
        <f>F19+G19+L19</f>
        <v>50.115000000000002</v>
      </c>
      <c r="I19" s="93">
        <f t="shared" si="1"/>
        <v>14.884999999999998</v>
      </c>
      <c r="J19" s="87">
        <v>5</v>
      </c>
      <c r="K19" s="87">
        <v>30</v>
      </c>
      <c r="L19" s="87">
        <v>1</v>
      </c>
    </row>
    <row r="20" spans="1:12" ht="34.799999999999997" x14ac:dyDescent="0.85">
      <c r="A20" s="88">
        <v>14</v>
      </c>
      <c r="B20" s="96" t="s">
        <v>32</v>
      </c>
      <c r="C20" s="90">
        <v>65</v>
      </c>
      <c r="D20" s="86">
        <f>C20*D3</f>
        <v>19.5</v>
      </c>
      <c r="E20" s="86">
        <f>D20*E3</f>
        <v>1.3650000000000002</v>
      </c>
      <c r="F20" s="91">
        <f t="shared" si="0"/>
        <v>20.865000000000002</v>
      </c>
      <c r="G20" s="92">
        <v>20.68</v>
      </c>
      <c r="H20" s="90">
        <f>F20+G20+L20</f>
        <v>42.545000000000002</v>
      </c>
      <c r="I20" s="93">
        <f t="shared" si="1"/>
        <v>22.454999999999998</v>
      </c>
      <c r="J20" s="87">
        <v>5</v>
      </c>
      <c r="K20" s="87">
        <v>30</v>
      </c>
      <c r="L20" s="87">
        <v>1</v>
      </c>
    </row>
    <row r="21" spans="1:12" ht="34.799999999999997" x14ac:dyDescent="0.85">
      <c r="A21" s="88">
        <v>15</v>
      </c>
      <c r="B21" s="89" t="s">
        <v>68</v>
      </c>
      <c r="C21" s="90">
        <v>60</v>
      </c>
      <c r="D21" s="86">
        <f>C21*D3</f>
        <v>18</v>
      </c>
      <c r="E21" s="86">
        <f>D21*E3</f>
        <v>1.2600000000000002</v>
      </c>
      <c r="F21" s="91">
        <f t="shared" si="0"/>
        <v>19.260000000000002</v>
      </c>
      <c r="G21" s="92">
        <v>24.509333333333331</v>
      </c>
      <c r="H21" s="90">
        <f>F21+G21+L21</f>
        <v>44.769333333333336</v>
      </c>
      <c r="I21" s="93">
        <f t="shared" si="1"/>
        <v>15.230666666666664</v>
      </c>
      <c r="J21" s="87">
        <v>5</v>
      </c>
      <c r="K21" s="87"/>
      <c r="L21" s="87">
        <v>1</v>
      </c>
    </row>
    <row r="22" spans="1:12" ht="34.799999999999997" x14ac:dyDescent="0.85">
      <c r="A22" s="88">
        <v>16</v>
      </c>
      <c r="B22" s="89" t="s">
        <v>100</v>
      </c>
      <c r="C22" s="90">
        <v>65</v>
      </c>
      <c r="D22" s="86">
        <f>C22*D3</f>
        <v>19.5</v>
      </c>
      <c r="E22" s="86">
        <f>D22*E3</f>
        <v>1.3650000000000002</v>
      </c>
      <c r="F22" s="91">
        <f t="shared" si="0"/>
        <v>20.865000000000002</v>
      </c>
      <c r="G22" s="92">
        <v>25.60393333333333</v>
      </c>
      <c r="H22" s="90">
        <f>F22+G22+L22</f>
        <v>47.468933333333332</v>
      </c>
      <c r="I22" s="93">
        <f t="shared" si="1"/>
        <v>17.531066666666668</v>
      </c>
      <c r="J22" s="87">
        <v>5</v>
      </c>
      <c r="K22" s="87"/>
      <c r="L22" s="87">
        <v>1</v>
      </c>
    </row>
    <row r="23" spans="1:12" ht="34.799999999999997" x14ac:dyDescent="0.85">
      <c r="A23" s="88"/>
      <c r="B23" s="89"/>
      <c r="C23" s="90"/>
      <c r="D23" s="86"/>
      <c r="E23" s="86"/>
      <c r="F23" s="91"/>
      <c r="G23" s="92"/>
      <c r="H23" s="90"/>
      <c r="I23" s="93">
        <f t="shared" si="1"/>
        <v>0</v>
      </c>
      <c r="J23" s="87"/>
      <c r="K23" s="87"/>
      <c r="L23" s="87"/>
    </row>
    <row r="24" spans="1:12" ht="34.799999999999997" x14ac:dyDescent="0.85">
      <c r="A24" s="88">
        <v>17</v>
      </c>
      <c r="B24" s="89" t="s">
        <v>40</v>
      </c>
      <c r="C24" s="90">
        <v>85</v>
      </c>
      <c r="D24" s="86">
        <f>C24*D3</f>
        <v>25.5</v>
      </c>
      <c r="E24" s="86">
        <f>D24*E3</f>
        <v>1.7850000000000001</v>
      </c>
      <c r="F24" s="91">
        <f t="shared" si="0"/>
        <v>27.285</v>
      </c>
      <c r="G24" s="92">
        <v>35.733533333333334</v>
      </c>
      <c r="H24" s="90">
        <f>F24+G24+L24</f>
        <v>64.018533333333338</v>
      </c>
      <c r="I24" s="93">
        <f t="shared" si="1"/>
        <v>20.981466666666662</v>
      </c>
      <c r="J24" s="87">
        <v>5</v>
      </c>
      <c r="K24" s="87"/>
      <c r="L24" s="87">
        <v>1</v>
      </c>
    </row>
    <row r="25" spans="1:12" ht="34.799999999999997" x14ac:dyDescent="0.85">
      <c r="A25" s="88">
        <v>18</v>
      </c>
      <c r="B25" s="89" t="s">
        <v>17</v>
      </c>
      <c r="C25" s="90">
        <v>60</v>
      </c>
      <c r="D25" s="86">
        <f>C25*D3</f>
        <v>18</v>
      </c>
      <c r="E25" s="86">
        <f>D25*E3</f>
        <v>1.2600000000000002</v>
      </c>
      <c r="F25" s="91">
        <f t="shared" si="0"/>
        <v>19.260000000000002</v>
      </c>
      <c r="G25" s="92">
        <v>16.003</v>
      </c>
      <c r="H25" s="90">
        <f>F25+G25+L25</f>
        <v>36.263000000000005</v>
      </c>
      <c r="I25" s="93">
        <f t="shared" si="1"/>
        <v>23.736999999999995</v>
      </c>
      <c r="J25" s="87">
        <v>5</v>
      </c>
      <c r="K25" s="87"/>
      <c r="L25" s="87">
        <v>1</v>
      </c>
    </row>
    <row r="26" spans="1:12" ht="34.799999999999997" x14ac:dyDescent="0.85">
      <c r="A26" s="88">
        <v>19</v>
      </c>
      <c r="B26" s="89" t="s">
        <v>123</v>
      </c>
      <c r="C26" s="90">
        <v>65</v>
      </c>
      <c r="D26" s="86">
        <f>C26*D3</f>
        <v>19.5</v>
      </c>
      <c r="E26" s="86">
        <f>D26*E3</f>
        <v>1.3650000000000002</v>
      </c>
      <c r="F26" s="91">
        <f t="shared" si="0"/>
        <v>20.865000000000002</v>
      </c>
      <c r="G26" s="92">
        <v>29.721714285714288</v>
      </c>
      <c r="H26" s="90">
        <f>F26+G26+L26</f>
        <v>51.586714285714294</v>
      </c>
      <c r="I26" s="93">
        <f t="shared" si="1"/>
        <v>13.413285714285706</v>
      </c>
      <c r="J26" s="87">
        <v>5</v>
      </c>
      <c r="K26" s="87"/>
      <c r="L26" s="87">
        <v>1</v>
      </c>
    </row>
    <row r="27" spans="1:12" ht="34.799999999999997" x14ac:dyDescent="0.85">
      <c r="A27" s="88">
        <v>20</v>
      </c>
      <c r="B27" s="89" t="s">
        <v>124</v>
      </c>
      <c r="C27" s="90">
        <v>65</v>
      </c>
      <c r="D27" s="86">
        <f>C27*D3</f>
        <v>19.5</v>
      </c>
      <c r="E27" s="86">
        <f>D27*E3</f>
        <v>1.3650000000000002</v>
      </c>
      <c r="F27" s="91">
        <f t="shared" si="0"/>
        <v>20.865000000000002</v>
      </c>
      <c r="G27" s="92">
        <v>29.721714285714288</v>
      </c>
      <c r="H27" s="90">
        <f>F27+G27+L27</f>
        <v>51.586714285714294</v>
      </c>
      <c r="I27" s="93">
        <f t="shared" si="1"/>
        <v>13.413285714285706</v>
      </c>
      <c r="J27" s="87">
        <v>5</v>
      </c>
      <c r="K27" s="87"/>
      <c r="L27" s="87">
        <v>1</v>
      </c>
    </row>
    <row r="28" spans="1:12" ht="34.799999999999997" x14ac:dyDescent="0.85">
      <c r="A28" s="88"/>
      <c r="B28" s="89"/>
      <c r="C28" s="90"/>
      <c r="D28" s="86"/>
      <c r="E28" s="86"/>
      <c r="F28" s="91"/>
      <c r="G28" s="92"/>
      <c r="H28" s="90"/>
      <c r="I28" s="93">
        <f t="shared" si="1"/>
        <v>0</v>
      </c>
      <c r="J28" s="87"/>
      <c r="K28" s="87"/>
      <c r="L28" s="87"/>
    </row>
    <row r="29" spans="1:12" ht="34.799999999999997" x14ac:dyDescent="0.85">
      <c r="A29" s="88">
        <v>21</v>
      </c>
      <c r="B29" s="89" t="s">
        <v>121</v>
      </c>
      <c r="C29" s="90">
        <v>55</v>
      </c>
      <c r="D29" s="86">
        <f>C29*D3</f>
        <v>16.5</v>
      </c>
      <c r="E29" s="86">
        <f>D29*E3</f>
        <v>1.155</v>
      </c>
      <c r="F29" s="91">
        <f t="shared" si="0"/>
        <v>17.655000000000001</v>
      </c>
      <c r="G29" s="92">
        <v>14.39</v>
      </c>
      <c r="H29" s="90">
        <f>F29+G29+L29</f>
        <v>33.045000000000002</v>
      </c>
      <c r="I29" s="93">
        <f t="shared" si="1"/>
        <v>21.954999999999998</v>
      </c>
      <c r="J29" s="87"/>
      <c r="K29" s="87"/>
      <c r="L29" s="87">
        <v>1</v>
      </c>
    </row>
    <row r="30" spans="1:12" ht="34.799999999999997" x14ac:dyDescent="0.85">
      <c r="A30" s="88">
        <v>22</v>
      </c>
      <c r="B30" s="89" t="s">
        <v>193</v>
      </c>
      <c r="C30" s="90">
        <v>65</v>
      </c>
      <c r="D30" s="86">
        <f>C30*D3</f>
        <v>19.5</v>
      </c>
      <c r="E30" s="86">
        <f>D30*E3</f>
        <v>1.3650000000000002</v>
      </c>
      <c r="F30" s="91">
        <f t="shared" ref="F30" si="2">D30+E30</f>
        <v>20.865000000000002</v>
      </c>
      <c r="G30" s="92">
        <v>16.96</v>
      </c>
      <c r="H30" s="90">
        <f>F30+G30+L30</f>
        <v>38.825000000000003</v>
      </c>
      <c r="I30" s="93">
        <f t="shared" si="1"/>
        <v>26.174999999999997</v>
      </c>
      <c r="J30" s="87"/>
      <c r="K30" s="87"/>
      <c r="L30" s="87">
        <v>1</v>
      </c>
    </row>
    <row r="31" spans="1:12" ht="34.799999999999997" x14ac:dyDescent="0.85">
      <c r="A31" s="88"/>
      <c r="B31" s="89"/>
      <c r="C31" s="90"/>
      <c r="D31" s="86"/>
      <c r="E31" s="86"/>
      <c r="F31" s="91"/>
      <c r="G31" s="92"/>
      <c r="H31" s="90"/>
      <c r="I31" s="93">
        <f t="shared" si="1"/>
        <v>0</v>
      </c>
      <c r="J31" s="87"/>
      <c r="K31" s="87"/>
      <c r="L31" s="87"/>
    </row>
    <row r="32" spans="1:12" ht="34.799999999999997" x14ac:dyDescent="0.85">
      <c r="A32" s="88">
        <v>23</v>
      </c>
      <c r="B32" s="89" t="s">
        <v>187</v>
      </c>
      <c r="C32" s="90">
        <v>60</v>
      </c>
      <c r="D32" s="86">
        <f>C32*D3</f>
        <v>18</v>
      </c>
      <c r="E32" s="86">
        <f>D32*E3</f>
        <v>1.2600000000000002</v>
      </c>
      <c r="F32" s="91">
        <f t="shared" ref="F32" si="3">D32+E32</f>
        <v>19.260000000000002</v>
      </c>
      <c r="G32" s="92">
        <v>10.27</v>
      </c>
      <c r="H32" s="90">
        <f t="shared" ref="H32" si="4">F32+G32+L32</f>
        <v>30.53</v>
      </c>
      <c r="I32" s="93">
        <f t="shared" si="1"/>
        <v>29.47</v>
      </c>
      <c r="J32" s="87"/>
      <c r="K32" s="87"/>
      <c r="L32" s="87">
        <v>1</v>
      </c>
    </row>
    <row r="33" spans="1:12" ht="34.799999999999997" x14ac:dyDescent="0.85">
      <c r="A33" s="88">
        <v>24</v>
      </c>
      <c r="B33" s="89" t="s">
        <v>194</v>
      </c>
      <c r="C33" s="90">
        <v>70</v>
      </c>
      <c r="D33" s="86">
        <f>C33*D3</f>
        <v>21</v>
      </c>
      <c r="E33" s="86">
        <f>C33*E3</f>
        <v>4.9000000000000004</v>
      </c>
      <c r="F33" s="91">
        <f t="shared" ref="F33:F34" si="5">D33+E33</f>
        <v>25.9</v>
      </c>
      <c r="G33" s="92">
        <v>19.690000000000001</v>
      </c>
      <c r="H33" s="90">
        <f t="shared" ref="H33:H34" si="6">F33+G33+L33</f>
        <v>46.59</v>
      </c>
      <c r="I33" s="93">
        <f t="shared" si="1"/>
        <v>23.409999999999997</v>
      </c>
      <c r="J33" s="87"/>
      <c r="K33" s="87"/>
      <c r="L33" s="87">
        <v>1</v>
      </c>
    </row>
    <row r="34" spans="1:12" ht="34.799999999999997" x14ac:dyDescent="0.85">
      <c r="A34" s="88">
        <v>22</v>
      </c>
      <c r="B34" s="89" t="s">
        <v>195</v>
      </c>
      <c r="C34" s="90">
        <v>60</v>
      </c>
      <c r="D34" s="86">
        <f>C34*D3</f>
        <v>18</v>
      </c>
      <c r="E34" s="86">
        <f>D34*E3</f>
        <v>1.2600000000000002</v>
      </c>
      <c r="F34" s="91">
        <f t="shared" si="5"/>
        <v>19.260000000000002</v>
      </c>
      <c r="G34" s="92">
        <v>17.75</v>
      </c>
      <c r="H34" s="90">
        <f t="shared" si="6"/>
        <v>38.010000000000005</v>
      </c>
      <c r="I34" s="93">
        <f t="shared" si="1"/>
        <v>21.989999999999995</v>
      </c>
      <c r="J34" s="87"/>
      <c r="K34" s="87"/>
      <c r="L34" s="87">
        <v>1</v>
      </c>
    </row>
    <row r="36" spans="1:12" ht="34.799999999999997" x14ac:dyDescent="0.85">
      <c r="A36" s="88">
        <v>1</v>
      </c>
      <c r="B36" s="89" t="s">
        <v>199</v>
      </c>
      <c r="C36" s="90">
        <v>70</v>
      </c>
      <c r="D36" s="86">
        <f>D3*C36</f>
        <v>21</v>
      </c>
      <c r="E36" s="86">
        <f>E3*D36</f>
        <v>1.4700000000000002</v>
      </c>
      <c r="F36" s="91">
        <f>D36+E36</f>
        <v>22.47</v>
      </c>
      <c r="G36" s="92">
        <v>24.31</v>
      </c>
      <c r="H36" s="90">
        <f>F36+G36+L36</f>
        <v>47.78</v>
      </c>
      <c r="I36" s="93">
        <f>C36-H36</f>
        <v>22.22</v>
      </c>
      <c r="J36" s="87"/>
      <c r="K36" s="87">
        <v>30</v>
      </c>
      <c r="L36" s="87">
        <v>1</v>
      </c>
    </row>
  </sheetData>
  <mergeCells count="10">
    <mergeCell ref="L2:L3"/>
    <mergeCell ref="A1:L1"/>
    <mergeCell ref="A2:B3"/>
    <mergeCell ref="C2:C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E405-D9E7-45BB-A3B2-59651820A1AA}">
  <dimension ref="A1:V36"/>
  <sheetViews>
    <sheetView topLeftCell="C1" zoomScale="50" zoomScaleNormal="50" workbookViewId="0">
      <selection activeCell="W6" sqref="W6"/>
    </sheetView>
  </sheetViews>
  <sheetFormatPr defaultRowHeight="34.200000000000003" x14ac:dyDescent="0.85"/>
  <cols>
    <col min="1" max="1" width="4.21875" style="84" bestFit="1" customWidth="1"/>
    <col min="2" max="2" width="52" style="84" bestFit="1" customWidth="1"/>
    <col min="3" max="3" width="21.77734375" style="84" customWidth="1"/>
    <col min="4" max="4" width="10.77734375" style="84" customWidth="1"/>
    <col min="5" max="5" width="10.88671875" style="84" customWidth="1"/>
    <col min="6" max="6" width="17.5546875" style="84" customWidth="1"/>
    <col min="7" max="7" width="17.109375" style="84" customWidth="1"/>
    <col min="8" max="8" width="14.5546875" style="84" customWidth="1"/>
    <col min="9" max="9" width="13.21875" style="84" customWidth="1"/>
    <col min="10" max="10" width="13.5546875" style="84" customWidth="1"/>
    <col min="11" max="11" width="11.88671875" style="84" customWidth="1"/>
    <col min="12" max="12" width="20" style="84" customWidth="1"/>
    <col min="13" max="13" width="8.88671875" style="84" customWidth="1"/>
    <col min="14" max="14" width="12.33203125" style="84" customWidth="1"/>
    <col min="15" max="15" width="28.5546875" style="84" bestFit="1" customWidth="1"/>
    <col min="16" max="17" width="11.21875" style="84" customWidth="1"/>
    <col min="18" max="18" width="17.88671875" style="84" customWidth="1"/>
    <col min="19" max="19" width="17.21875" style="84" customWidth="1"/>
    <col min="20" max="20" width="14.33203125" style="84" customWidth="1"/>
    <col min="21" max="21" width="19.88671875" style="84" customWidth="1"/>
    <col min="22" max="22" width="13.21875" style="84" customWidth="1"/>
    <col min="23" max="16384" width="8.88671875" style="84"/>
  </cols>
  <sheetData>
    <row r="1" spans="1:22" ht="34.799999999999997" thickBot="1" x14ac:dyDescent="0.9">
      <c r="A1" s="171" t="s">
        <v>131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3"/>
    </row>
    <row r="2" spans="1:22" ht="34.799999999999997" customHeight="1" x14ac:dyDescent="0.85">
      <c r="A2" s="159" t="s">
        <v>86</v>
      </c>
      <c r="B2" s="159"/>
      <c r="C2" s="161" t="s">
        <v>24</v>
      </c>
      <c r="D2" s="95" t="s">
        <v>129</v>
      </c>
      <c r="E2" s="95" t="s">
        <v>128</v>
      </c>
      <c r="F2" s="163" t="s">
        <v>130</v>
      </c>
      <c r="G2" s="165" t="s">
        <v>91</v>
      </c>
      <c r="H2" s="174" t="s">
        <v>87</v>
      </c>
      <c r="I2" s="175" t="s">
        <v>135</v>
      </c>
      <c r="J2" s="176" t="s">
        <v>122</v>
      </c>
      <c r="K2" s="176" t="s">
        <v>59</v>
      </c>
      <c r="L2" s="177" t="s">
        <v>134</v>
      </c>
      <c r="N2" s="162" t="s">
        <v>24</v>
      </c>
      <c r="O2" s="103" t="s">
        <v>197</v>
      </c>
      <c r="P2" s="102" t="s">
        <v>129</v>
      </c>
      <c r="Q2" s="102" t="s">
        <v>128</v>
      </c>
      <c r="R2" s="164" t="s">
        <v>130</v>
      </c>
      <c r="S2" s="166" t="s">
        <v>91</v>
      </c>
      <c r="T2" s="168" t="s">
        <v>87</v>
      </c>
      <c r="U2" s="155" t="s">
        <v>134</v>
      </c>
      <c r="V2" s="170" t="s">
        <v>135</v>
      </c>
    </row>
    <row r="3" spans="1:22" ht="34.799999999999997" x14ac:dyDescent="0.85">
      <c r="A3" s="160"/>
      <c r="B3" s="160"/>
      <c r="C3" s="162"/>
      <c r="D3" s="85">
        <v>0.32</v>
      </c>
      <c r="E3" s="85">
        <v>7.0000000000000007E-2</v>
      </c>
      <c r="F3" s="164"/>
      <c r="G3" s="166"/>
      <c r="H3" s="167"/>
      <c r="I3" s="169"/>
      <c r="J3" s="159"/>
      <c r="K3" s="159"/>
      <c r="L3" s="154"/>
      <c r="N3" s="162"/>
      <c r="O3" s="103">
        <v>9</v>
      </c>
      <c r="P3" s="85">
        <v>0.32</v>
      </c>
      <c r="Q3" s="85">
        <v>7.0000000000000007E-2</v>
      </c>
      <c r="R3" s="164"/>
      <c r="S3" s="166"/>
      <c r="T3" s="168"/>
      <c r="U3" s="155"/>
      <c r="V3" s="170"/>
    </row>
    <row r="4" spans="1:22" ht="34.799999999999997" x14ac:dyDescent="0.85">
      <c r="A4" s="88">
        <v>1</v>
      </c>
      <c r="B4" s="89" t="s">
        <v>172</v>
      </c>
      <c r="C4" s="90">
        <v>69</v>
      </c>
      <c r="D4" s="86">
        <f>C4*D3</f>
        <v>22.080000000000002</v>
      </c>
      <c r="E4" s="86">
        <f>D4*E3</f>
        <v>1.5456000000000003</v>
      </c>
      <c r="F4" s="91">
        <f>D4+E4</f>
        <v>23.625600000000002</v>
      </c>
      <c r="G4" s="92">
        <v>18.3</v>
      </c>
      <c r="H4" s="90">
        <f>F4+G4+L4</f>
        <v>42.925600000000003</v>
      </c>
      <c r="I4" s="93">
        <f>C4-H4</f>
        <v>26.074399999999997</v>
      </c>
      <c r="J4" s="87"/>
      <c r="K4" s="87">
        <v>30</v>
      </c>
      <c r="L4" s="87">
        <v>1</v>
      </c>
      <c r="N4" s="90">
        <v>69</v>
      </c>
      <c r="O4" s="90">
        <f>N4-O3</f>
        <v>60</v>
      </c>
      <c r="P4" s="105">
        <f>O4*P3</f>
        <v>19.2</v>
      </c>
      <c r="Q4" s="105">
        <f>P4*Q3</f>
        <v>1.3440000000000001</v>
      </c>
      <c r="R4" s="106">
        <f>P4+Q4</f>
        <v>20.544</v>
      </c>
      <c r="S4" s="92">
        <v>12.6056666666667</v>
      </c>
      <c r="T4" s="90">
        <f>R4+S4+U4</f>
        <v>34.149666666666704</v>
      </c>
      <c r="U4" s="87">
        <v>1</v>
      </c>
      <c r="V4" s="93">
        <f>O4-T4</f>
        <v>25.850333333333296</v>
      </c>
    </row>
    <row r="5" spans="1:22" ht="34.799999999999997" x14ac:dyDescent="0.85">
      <c r="A5" s="88">
        <v>2</v>
      </c>
      <c r="B5" s="89" t="s">
        <v>210</v>
      </c>
      <c r="C5" s="90">
        <v>97</v>
      </c>
      <c r="D5" s="86">
        <f>C5*D3</f>
        <v>31.04</v>
      </c>
      <c r="E5" s="86">
        <f>D5*E3</f>
        <v>2.1728000000000001</v>
      </c>
      <c r="F5" s="91">
        <f t="shared" ref="F5:F29" si="0">D5+E5</f>
        <v>33.212800000000001</v>
      </c>
      <c r="G5" s="92">
        <v>31.33</v>
      </c>
      <c r="H5" s="90">
        <f>F5+G5+L5</f>
        <v>65.5428</v>
      </c>
      <c r="I5" s="93">
        <f>C5-H5</f>
        <v>31.4572</v>
      </c>
      <c r="J5" s="87"/>
      <c r="K5" s="87"/>
      <c r="L5" s="87">
        <v>1</v>
      </c>
      <c r="N5" s="90">
        <v>97</v>
      </c>
      <c r="O5" s="90">
        <f>N5-O3</f>
        <v>88</v>
      </c>
      <c r="P5" s="105">
        <f>O5*P3</f>
        <v>28.16</v>
      </c>
      <c r="Q5" s="105">
        <f>P5*Q3</f>
        <v>1.9712000000000003</v>
      </c>
      <c r="R5" s="106">
        <f t="shared" ref="R5:R34" si="1">P5+Q5</f>
        <v>30.1312</v>
      </c>
      <c r="S5" s="92">
        <v>31.33</v>
      </c>
      <c r="T5" s="90">
        <f>R5+S5+U5</f>
        <v>62.461199999999998</v>
      </c>
      <c r="U5" s="87">
        <v>1</v>
      </c>
      <c r="V5" s="93">
        <f t="shared" ref="V5:V36" si="2">O5-T5</f>
        <v>25.538800000000002</v>
      </c>
    </row>
    <row r="6" spans="1:22" ht="34.799999999999997" x14ac:dyDescent="0.85">
      <c r="A6" s="88">
        <v>3</v>
      </c>
      <c r="B6" s="89" t="s">
        <v>191</v>
      </c>
      <c r="C6" s="90">
        <v>97</v>
      </c>
      <c r="D6" s="86">
        <f>C6*D3</f>
        <v>31.04</v>
      </c>
      <c r="E6" s="86">
        <f>D6*E3</f>
        <v>2.1728000000000001</v>
      </c>
      <c r="F6" s="91">
        <f t="shared" si="0"/>
        <v>33.212800000000001</v>
      </c>
      <c r="G6" s="92">
        <v>31.33</v>
      </c>
      <c r="H6" s="90">
        <f>F6+G6+L6</f>
        <v>65.5428</v>
      </c>
      <c r="I6" s="93">
        <f>C6-H6</f>
        <v>31.4572</v>
      </c>
      <c r="J6" s="87"/>
      <c r="K6" s="87"/>
      <c r="L6" s="87">
        <v>1</v>
      </c>
      <c r="N6" s="90">
        <v>97</v>
      </c>
      <c r="O6" s="90">
        <f>N6-O3</f>
        <v>88</v>
      </c>
      <c r="P6" s="105">
        <f>O6*P3</f>
        <v>28.16</v>
      </c>
      <c r="Q6" s="105">
        <f>P6*Q3</f>
        <v>1.9712000000000003</v>
      </c>
      <c r="R6" s="106">
        <f t="shared" si="1"/>
        <v>30.1312</v>
      </c>
      <c r="S6" s="92">
        <v>31.33</v>
      </c>
      <c r="T6" s="90">
        <f t="shared" ref="T6:T36" si="3">R6+S6+U6</f>
        <v>62.461199999999998</v>
      </c>
      <c r="U6" s="87">
        <v>1</v>
      </c>
      <c r="V6" s="93">
        <f t="shared" si="2"/>
        <v>25.538800000000002</v>
      </c>
    </row>
    <row r="7" spans="1:22" ht="34.799999999999997" x14ac:dyDescent="0.85">
      <c r="A7" s="88"/>
      <c r="B7" s="89"/>
      <c r="C7" s="90"/>
      <c r="D7" s="86"/>
      <c r="E7" s="86"/>
      <c r="F7" s="91"/>
      <c r="G7" s="92"/>
      <c r="H7" s="90"/>
      <c r="I7" s="93"/>
      <c r="J7" s="87"/>
      <c r="K7" s="87"/>
      <c r="L7" s="87"/>
      <c r="N7" s="90"/>
      <c r="O7" s="90"/>
      <c r="P7" s="105"/>
      <c r="Q7" s="105"/>
      <c r="R7" s="106"/>
      <c r="S7" s="92"/>
      <c r="T7" s="90">
        <f t="shared" si="3"/>
        <v>0</v>
      </c>
      <c r="U7" s="87"/>
      <c r="V7" s="93">
        <f t="shared" si="2"/>
        <v>0</v>
      </c>
    </row>
    <row r="8" spans="1:22" ht="34.799999999999997" x14ac:dyDescent="0.85">
      <c r="A8" s="88">
        <v>4</v>
      </c>
      <c r="B8" s="89" t="s">
        <v>36</v>
      </c>
      <c r="C8" s="90">
        <v>70</v>
      </c>
      <c r="D8" s="86">
        <f>C8*D3</f>
        <v>22.400000000000002</v>
      </c>
      <c r="E8" s="86">
        <f>D8*E3</f>
        <v>1.5680000000000003</v>
      </c>
      <c r="F8" s="91">
        <f t="shared" si="0"/>
        <v>23.968000000000004</v>
      </c>
      <c r="G8" s="92">
        <v>21.88</v>
      </c>
      <c r="H8" s="90">
        <f>F8+G8+L8</f>
        <v>46.847999999999999</v>
      </c>
      <c r="I8" s="93">
        <f>C8-H8</f>
        <v>23.152000000000001</v>
      </c>
      <c r="J8" s="87">
        <v>5</v>
      </c>
      <c r="K8" s="87">
        <v>30</v>
      </c>
      <c r="L8" s="87">
        <v>1</v>
      </c>
      <c r="N8" s="90">
        <v>70</v>
      </c>
      <c r="O8" s="90">
        <f>N8-O3</f>
        <v>61</v>
      </c>
      <c r="P8" s="105">
        <f>O8*P3</f>
        <v>19.52</v>
      </c>
      <c r="Q8" s="105">
        <f>P8*Q3</f>
        <v>1.3664000000000001</v>
      </c>
      <c r="R8" s="106">
        <f t="shared" si="1"/>
        <v>20.886399999999998</v>
      </c>
      <c r="S8" s="92">
        <v>21.88</v>
      </c>
      <c r="T8" s="90">
        <f t="shared" si="3"/>
        <v>43.766399999999997</v>
      </c>
      <c r="U8" s="87">
        <v>1</v>
      </c>
      <c r="V8" s="93">
        <f t="shared" si="2"/>
        <v>17.233600000000003</v>
      </c>
    </row>
    <row r="9" spans="1:22" ht="34.799999999999997" x14ac:dyDescent="0.85">
      <c r="A9" s="88">
        <v>5</v>
      </c>
      <c r="B9" s="89" t="s">
        <v>72</v>
      </c>
      <c r="C9" s="90">
        <v>70</v>
      </c>
      <c r="D9" s="86">
        <f>C9*D3</f>
        <v>22.400000000000002</v>
      </c>
      <c r="E9" s="86">
        <f>D9*E3</f>
        <v>1.5680000000000003</v>
      </c>
      <c r="F9" s="91">
        <f t="shared" si="0"/>
        <v>23.968000000000004</v>
      </c>
      <c r="G9" s="92">
        <v>18.46</v>
      </c>
      <c r="H9" s="90">
        <f>F9+G9+L9</f>
        <v>43.428000000000004</v>
      </c>
      <c r="I9" s="93">
        <f>C9-H9</f>
        <v>26.571999999999996</v>
      </c>
      <c r="J9" s="87">
        <v>5</v>
      </c>
      <c r="K9" s="87">
        <v>30</v>
      </c>
      <c r="L9" s="87">
        <v>1</v>
      </c>
      <c r="N9" s="90">
        <v>70</v>
      </c>
      <c r="O9" s="90">
        <f>N9-O3</f>
        <v>61</v>
      </c>
      <c r="P9" s="105">
        <f>O9*P3</f>
        <v>19.52</v>
      </c>
      <c r="Q9" s="105">
        <f>P9*Q3</f>
        <v>1.3664000000000001</v>
      </c>
      <c r="R9" s="106">
        <f t="shared" si="1"/>
        <v>20.886399999999998</v>
      </c>
      <c r="S9" s="92">
        <v>18.46</v>
      </c>
      <c r="T9" s="90">
        <f t="shared" si="3"/>
        <v>40.346400000000003</v>
      </c>
      <c r="U9" s="87">
        <v>1</v>
      </c>
      <c r="V9" s="93">
        <f t="shared" si="2"/>
        <v>20.653599999999997</v>
      </c>
    </row>
    <row r="10" spans="1:22" ht="34.799999999999997" x14ac:dyDescent="0.85">
      <c r="A10" s="88">
        <v>6</v>
      </c>
      <c r="B10" s="89" t="s">
        <v>74</v>
      </c>
      <c r="C10" s="90">
        <v>75</v>
      </c>
      <c r="D10" s="86">
        <f>C10*D3</f>
        <v>24</v>
      </c>
      <c r="E10" s="86">
        <f>D10*E3</f>
        <v>1.6800000000000002</v>
      </c>
      <c r="F10" s="91">
        <f t="shared" si="0"/>
        <v>25.68</v>
      </c>
      <c r="G10" s="92">
        <v>18.884666666666664</v>
      </c>
      <c r="H10" s="90">
        <f>F10+G10+L10</f>
        <v>45.564666666666668</v>
      </c>
      <c r="I10" s="93">
        <f>C10-H10</f>
        <v>29.435333333333332</v>
      </c>
      <c r="J10" s="87">
        <v>5</v>
      </c>
      <c r="K10" s="87">
        <v>30</v>
      </c>
      <c r="L10" s="87">
        <v>1</v>
      </c>
      <c r="N10" s="90">
        <v>75</v>
      </c>
      <c r="O10" s="90">
        <f>N10-O3</f>
        <v>66</v>
      </c>
      <c r="P10" s="105">
        <f>O10*P3</f>
        <v>21.12</v>
      </c>
      <c r="Q10" s="105">
        <f>P10*Q3</f>
        <v>1.4784000000000002</v>
      </c>
      <c r="R10" s="106">
        <f t="shared" si="1"/>
        <v>22.598400000000002</v>
      </c>
      <c r="S10" s="92">
        <v>18.884666666666664</v>
      </c>
      <c r="T10" s="90">
        <f t="shared" si="3"/>
        <v>42.483066666666666</v>
      </c>
      <c r="U10" s="87">
        <v>1</v>
      </c>
      <c r="V10" s="93">
        <f t="shared" si="2"/>
        <v>23.516933333333334</v>
      </c>
    </row>
    <row r="11" spans="1:22" ht="34.799999999999997" x14ac:dyDescent="0.85">
      <c r="A11" s="88">
        <v>7</v>
      </c>
      <c r="B11" s="89" t="s">
        <v>115</v>
      </c>
      <c r="C11" s="90">
        <v>30</v>
      </c>
      <c r="D11" s="86">
        <f>C11*D3</f>
        <v>9.6</v>
      </c>
      <c r="E11" s="86">
        <f>D11*E3</f>
        <v>0.67200000000000004</v>
      </c>
      <c r="F11" s="91">
        <f t="shared" si="0"/>
        <v>10.272</v>
      </c>
      <c r="G11" s="92">
        <v>15.528933333333331</v>
      </c>
      <c r="H11" s="90">
        <f>F11+G11+L11</f>
        <v>26.800933333333333</v>
      </c>
      <c r="I11" s="93">
        <f>C11-H11</f>
        <v>3.1990666666666669</v>
      </c>
      <c r="J11" s="87">
        <v>5</v>
      </c>
      <c r="K11" s="87"/>
      <c r="L11" s="87">
        <v>1</v>
      </c>
      <c r="N11" s="90">
        <v>30</v>
      </c>
      <c r="O11" s="90">
        <f>N11-O3</f>
        <v>21</v>
      </c>
      <c r="P11" s="105">
        <f>O11*P3</f>
        <v>6.72</v>
      </c>
      <c r="Q11" s="105">
        <f>P11*Q3</f>
        <v>0.47040000000000004</v>
      </c>
      <c r="R11" s="106">
        <f t="shared" si="1"/>
        <v>7.1903999999999995</v>
      </c>
      <c r="S11" s="92">
        <v>15.528933333333331</v>
      </c>
      <c r="T11" s="90">
        <f t="shared" si="3"/>
        <v>23.719333333333331</v>
      </c>
      <c r="U11" s="87">
        <v>1</v>
      </c>
      <c r="V11" s="93">
        <f t="shared" si="2"/>
        <v>-2.7193333333333314</v>
      </c>
    </row>
    <row r="12" spans="1:22" ht="34.799999999999997" x14ac:dyDescent="0.85">
      <c r="A12" s="88"/>
      <c r="B12" s="89"/>
      <c r="C12" s="90"/>
      <c r="D12" s="86"/>
      <c r="E12" s="86"/>
      <c r="F12" s="91"/>
      <c r="G12" s="92"/>
      <c r="H12" s="90"/>
      <c r="I12" s="93"/>
      <c r="J12" s="87"/>
      <c r="K12" s="87"/>
      <c r="L12" s="87"/>
      <c r="N12" s="90"/>
      <c r="O12" s="90"/>
      <c r="P12" s="105"/>
      <c r="Q12" s="105"/>
      <c r="R12" s="106"/>
      <c r="S12" s="92"/>
      <c r="T12" s="90">
        <f t="shared" si="3"/>
        <v>0</v>
      </c>
      <c r="U12" s="87"/>
      <c r="V12" s="93">
        <f t="shared" si="2"/>
        <v>0</v>
      </c>
    </row>
    <row r="13" spans="1:22" ht="34.799999999999997" x14ac:dyDescent="0.85">
      <c r="A13" s="88">
        <v>8</v>
      </c>
      <c r="B13" s="89" t="s">
        <v>89</v>
      </c>
      <c r="C13" s="90">
        <v>60</v>
      </c>
      <c r="D13" s="86">
        <f>C13*D3</f>
        <v>19.2</v>
      </c>
      <c r="E13" s="86">
        <f>D13*E3</f>
        <v>1.3440000000000001</v>
      </c>
      <c r="F13" s="91">
        <f t="shared" si="0"/>
        <v>20.544</v>
      </c>
      <c r="G13" s="92">
        <v>21.189999999999998</v>
      </c>
      <c r="H13" s="90">
        <f>F13+G13+L13</f>
        <v>42.733999999999995</v>
      </c>
      <c r="I13" s="93">
        <f>C13-H13</f>
        <v>17.266000000000005</v>
      </c>
      <c r="J13" s="87">
        <v>5</v>
      </c>
      <c r="K13" s="87">
        <v>30</v>
      </c>
      <c r="L13" s="87">
        <v>1</v>
      </c>
      <c r="N13" s="90">
        <v>60</v>
      </c>
      <c r="O13" s="90">
        <f>N13-O3</f>
        <v>51</v>
      </c>
      <c r="P13" s="105">
        <f>O13*P3</f>
        <v>16.32</v>
      </c>
      <c r="Q13" s="105">
        <f>P13*Q3</f>
        <v>1.1424000000000001</v>
      </c>
      <c r="R13" s="106">
        <f t="shared" si="1"/>
        <v>17.462399999999999</v>
      </c>
      <c r="S13" s="92">
        <v>21.189999999999998</v>
      </c>
      <c r="T13" s="90">
        <f t="shared" si="3"/>
        <v>39.6524</v>
      </c>
      <c r="U13" s="87">
        <v>1</v>
      </c>
      <c r="V13" s="93">
        <f t="shared" si="2"/>
        <v>11.3476</v>
      </c>
    </row>
    <row r="14" spans="1:22" ht="34.799999999999997" x14ac:dyDescent="0.85">
      <c r="A14" s="88">
        <v>9</v>
      </c>
      <c r="B14" s="89" t="s">
        <v>38</v>
      </c>
      <c r="C14" s="90">
        <v>70</v>
      </c>
      <c r="D14" s="86">
        <f>C14*D3</f>
        <v>22.400000000000002</v>
      </c>
      <c r="E14" s="86">
        <f>D14*E3</f>
        <v>1.5680000000000003</v>
      </c>
      <c r="F14" s="91">
        <f t="shared" si="0"/>
        <v>23.968000000000004</v>
      </c>
      <c r="G14" s="92">
        <v>28.41</v>
      </c>
      <c r="H14" s="90">
        <f>F14+G14+L14</f>
        <v>53.378</v>
      </c>
      <c r="I14" s="93">
        <f>C14-H14</f>
        <v>16.622</v>
      </c>
      <c r="J14" s="87">
        <v>5</v>
      </c>
      <c r="K14" s="87">
        <v>30</v>
      </c>
      <c r="L14" s="87">
        <v>1</v>
      </c>
      <c r="N14" s="90">
        <v>70</v>
      </c>
      <c r="O14" s="90">
        <f>N14-O3</f>
        <v>61</v>
      </c>
      <c r="P14" s="105">
        <f>O14*P3</f>
        <v>19.52</v>
      </c>
      <c r="Q14" s="105">
        <f>P14*Q3</f>
        <v>1.3664000000000001</v>
      </c>
      <c r="R14" s="106">
        <f t="shared" si="1"/>
        <v>20.886399999999998</v>
      </c>
      <c r="S14" s="92">
        <v>28.41</v>
      </c>
      <c r="T14" s="90">
        <f t="shared" si="3"/>
        <v>50.296399999999998</v>
      </c>
      <c r="U14" s="87">
        <v>1</v>
      </c>
      <c r="V14" s="93">
        <f t="shared" si="2"/>
        <v>10.703600000000002</v>
      </c>
    </row>
    <row r="15" spans="1:22" ht="34.799999999999997" x14ac:dyDescent="0.85">
      <c r="A15" s="88">
        <v>10</v>
      </c>
      <c r="B15" s="89" t="s">
        <v>176</v>
      </c>
      <c r="C15" s="90">
        <v>75</v>
      </c>
      <c r="D15" s="86">
        <f>C15*D3</f>
        <v>24</v>
      </c>
      <c r="E15" s="86">
        <f>D15*E3</f>
        <v>1.6800000000000002</v>
      </c>
      <c r="F15" s="91">
        <f t="shared" si="0"/>
        <v>25.68</v>
      </c>
      <c r="G15" s="92">
        <v>33.321785714285717</v>
      </c>
      <c r="H15" s="90">
        <f>F15+G15+L15</f>
        <v>60.001785714285717</v>
      </c>
      <c r="I15" s="93">
        <f>C15-H15</f>
        <v>14.998214285714283</v>
      </c>
      <c r="J15" s="87">
        <v>5</v>
      </c>
      <c r="K15" s="87">
        <v>30</v>
      </c>
      <c r="L15" s="87">
        <v>1</v>
      </c>
      <c r="N15" s="90">
        <v>75</v>
      </c>
      <c r="O15" s="90">
        <f>N15-O3</f>
        <v>66</v>
      </c>
      <c r="P15" s="105">
        <f>O15*P3</f>
        <v>21.12</v>
      </c>
      <c r="Q15" s="105">
        <f>P15*Q3</f>
        <v>1.4784000000000002</v>
      </c>
      <c r="R15" s="106">
        <f t="shared" si="1"/>
        <v>22.598400000000002</v>
      </c>
      <c r="S15" s="92">
        <v>33.321785714285717</v>
      </c>
      <c r="T15" s="90">
        <f t="shared" si="3"/>
        <v>56.920185714285722</v>
      </c>
      <c r="U15" s="87">
        <v>1</v>
      </c>
      <c r="V15" s="93">
        <f t="shared" si="2"/>
        <v>9.0798142857142778</v>
      </c>
    </row>
    <row r="16" spans="1:22" ht="34.799999999999997" x14ac:dyDescent="0.85">
      <c r="A16" s="88">
        <v>11</v>
      </c>
      <c r="B16" s="89" t="s">
        <v>177</v>
      </c>
      <c r="C16" s="90">
        <v>75</v>
      </c>
      <c r="D16" s="86">
        <f>C16*D3</f>
        <v>24</v>
      </c>
      <c r="E16" s="86">
        <f>D16*E3</f>
        <v>1.6800000000000002</v>
      </c>
      <c r="F16" s="91">
        <f t="shared" si="0"/>
        <v>25.68</v>
      </c>
      <c r="G16" s="92">
        <v>33.321785714285717</v>
      </c>
      <c r="H16" s="90">
        <f>F16+G16+L16</f>
        <v>60.001785714285717</v>
      </c>
      <c r="I16" s="93">
        <f>C16-H16</f>
        <v>14.998214285714283</v>
      </c>
      <c r="J16" s="87">
        <v>5</v>
      </c>
      <c r="K16" s="87">
        <v>30</v>
      </c>
      <c r="L16" s="87">
        <v>1</v>
      </c>
      <c r="N16" s="90">
        <v>75</v>
      </c>
      <c r="O16" s="90">
        <f>N16-O3</f>
        <v>66</v>
      </c>
      <c r="P16" s="105">
        <f>O16*P3</f>
        <v>21.12</v>
      </c>
      <c r="Q16" s="105">
        <f>P16*Q3</f>
        <v>1.4784000000000002</v>
      </c>
      <c r="R16" s="106">
        <f t="shared" si="1"/>
        <v>22.598400000000002</v>
      </c>
      <c r="S16" s="92">
        <v>33.321785714285717</v>
      </c>
      <c r="T16" s="90">
        <f t="shared" si="3"/>
        <v>56.920185714285722</v>
      </c>
      <c r="U16" s="87">
        <v>1</v>
      </c>
      <c r="V16" s="93">
        <f t="shared" si="2"/>
        <v>9.0798142857142778</v>
      </c>
    </row>
    <row r="17" spans="1:22" ht="34.799999999999997" x14ac:dyDescent="0.85">
      <c r="A17" s="88">
        <v>12</v>
      </c>
      <c r="B17" s="89" t="s">
        <v>110</v>
      </c>
      <c r="C17" s="90">
        <v>80</v>
      </c>
      <c r="D17" s="86">
        <f>C17*D3</f>
        <v>25.6</v>
      </c>
      <c r="E17" s="86">
        <f>D17*E3</f>
        <v>1.7920000000000003</v>
      </c>
      <c r="F17" s="91">
        <f t="shared" si="0"/>
        <v>27.392000000000003</v>
      </c>
      <c r="G17" s="92">
        <v>34.963314285714283</v>
      </c>
      <c r="H17" s="90">
        <f>F17+G17+L17</f>
        <v>63.355314285714286</v>
      </c>
      <c r="I17" s="93">
        <f>C17-H17</f>
        <v>16.644685714285714</v>
      </c>
      <c r="J17" s="87">
        <v>5</v>
      </c>
      <c r="K17" s="87">
        <v>30</v>
      </c>
      <c r="L17" s="87">
        <v>1</v>
      </c>
      <c r="N17" s="90">
        <v>80</v>
      </c>
      <c r="O17" s="90">
        <f>N17-O3</f>
        <v>71</v>
      </c>
      <c r="P17" s="105">
        <f>O17*P3</f>
        <v>22.72</v>
      </c>
      <c r="Q17" s="105">
        <f>P17*Q3</f>
        <v>1.5904</v>
      </c>
      <c r="R17" s="106">
        <f t="shared" si="1"/>
        <v>24.310399999999998</v>
      </c>
      <c r="S17" s="92">
        <v>34.963314285714283</v>
      </c>
      <c r="T17" s="90">
        <f t="shared" si="3"/>
        <v>60.273714285714277</v>
      </c>
      <c r="U17" s="87">
        <v>1</v>
      </c>
      <c r="V17" s="93">
        <f t="shared" si="2"/>
        <v>10.726285714285723</v>
      </c>
    </row>
    <row r="18" spans="1:22" ht="34.799999999999997" x14ac:dyDescent="0.85">
      <c r="A18" s="88"/>
      <c r="B18" s="89"/>
      <c r="C18" s="90"/>
      <c r="D18" s="86"/>
      <c r="E18" s="86"/>
      <c r="F18" s="91"/>
      <c r="G18" s="92"/>
      <c r="H18" s="90"/>
      <c r="I18" s="93"/>
      <c r="J18" s="87"/>
      <c r="K18" s="87"/>
      <c r="L18" s="87"/>
      <c r="N18" s="90"/>
      <c r="O18" s="90"/>
      <c r="P18" s="105"/>
      <c r="Q18" s="105"/>
      <c r="R18" s="106"/>
      <c r="S18" s="92"/>
      <c r="T18" s="90">
        <f t="shared" si="3"/>
        <v>0</v>
      </c>
      <c r="U18" s="87"/>
      <c r="V18" s="93">
        <f t="shared" si="2"/>
        <v>0</v>
      </c>
    </row>
    <row r="19" spans="1:22" ht="34.799999999999997" x14ac:dyDescent="0.85">
      <c r="A19" s="88">
        <v>13</v>
      </c>
      <c r="B19" s="89" t="s">
        <v>31</v>
      </c>
      <c r="C19" s="90">
        <v>69</v>
      </c>
      <c r="D19" s="86">
        <f>C19*D3</f>
        <v>22.080000000000002</v>
      </c>
      <c r="E19" s="86">
        <f>D19*E3</f>
        <v>1.5456000000000003</v>
      </c>
      <c r="F19" s="91">
        <f t="shared" si="0"/>
        <v>23.625600000000002</v>
      </c>
      <c r="G19" s="92">
        <v>27.889333333333333</v>
      </c>
      <c r="H19" s="90">
        <f>F19+G19+L19</f>
        <v>52.514933333333332</v>
      </c>
      <c r="I19" s="93">
        <f>C19-H19</f>
        <v>16.485066666666668</v>
      </c>
      <c r="J19" s="87">
        <v>5</v>
      </c>
      <c r="K19" s="87">
        <v>30</v>
      </c>
      <c r="L19" s="87">
        <v>1</v>
      </c>
      <c r="N19" s="90">
        <v>69</v>
      </c>
      <c r="O19" s="90">
        <f>N19-O3</f>
        <v>60</v>
      </c>
      <c r="P19" s="105">
        <f>O19*P3</f>
        <v>19.2</v>
      </c>
      <c r="Q19" s="105">
        <f>P19*Q3</f>
        <v>1.3440000000000001</v>
      </c>
      <c r="R19" s="106">
        <f t="shared" si="1"/>
        <v>20.544</v>
      </c>
      <c r="S19" s="92">
        <v>27.889333333333333</v>
      </c>
      <c r="T19" s="90">
        <f>R19+S19+U19</f>
        <v>49.433333333333337</v>
      </c>
      <c r="U19" s="87">
        <v>1</v>
      </c>
      <c r="V19" s="93">
        <f t="shared" si="2"/>
        <v>10.566666666666663</v>
      </c>
    </row>
    <row r="20" spans="1:22" ht="34.799999999999997" x14ac:dyDescent="0.85">
      <c r="A20" s="88">
        <v>14</v>
      </c>
      <c r="B20" s="96" t="s">
        <v>32</v>
      </c>
      <c r="C20" s="90">
        <v>60</v>
      </c>
      <c r="D20" s="86">
        <f>C20*D3</f>
        <v>19.2</v>
      </c>
      <c r="E20" s="86">
        <f>D20*E3</f>
        <v>1.3440000000000001</v>
      </c>
      <c r="F20" s="91">
        <f t="shared" si="0"/>
        <v>20.544</v>
      </c>
      <c r="G20" s="92">
        <v>19.989666666666665</v>
      </c>
      <c r="H20" s="90">
        <f>F20+G20+L20</f>
        <v>41.533666666666662</v>
      </c>
      <c r="I20" s="93">
        <f>C20-H20</f>
        <v>18.466333333333338</v>
      </c>
      <c r="J20" s="87">
        <v>5</v>
      </c>
      <c r="K20" s="87">
        <v>30</v>
      </c>
      <c r="L20" s="87">
        <v>1</v>
      </c>
      <c r="N20" s="90">
        <v>60</v>
      </c>
      <c r="O20" s="90">
        <f>N20-O3</f>
        <v>51</v>
      </c>
      <c r="P20" s="105">
        <f>O20*P3</f>
        <v>16.32</v>
      </c>
      <c r="Q20" s="105">
        <f>P20*Q3</f>
        <v>1.1424000000000001</v>
      </c>
      <c r="R20" s="106">
        <f t="shared" si="1"/>
        <v>17.462399999999999</v>
      </c>
      <c r="S20" s="92">
        <v>19.989666666666665</v>
      </c>
      <c r="T20" s="90">
        <f t="shared" si="3"/>
        <v>38.452066666666667</v>
      </c>
      <c r="U20" s="87">
        <v>1</v>
      </c>
      <c r="V20" s="93">
        <f t="shared" si="2"/>
        <v>12.547933333333333</v>
      </c>
    </row>
    <row r="21" spans="1:22" ht="34.799999999999997" x14ac:dyDescent="0.85">
      <c r="A21" s="88">
        <v>15</v>
      </c>
      <c r="B21" s="89" t="s">
        <v>68</v>
      </c>
      <c r="C21" s="90">
        <v>60</v>
      </c>
      <c r="D21" s="86">
        <f>C21*D3</f>
        <v>19.2</v>
      </c>
      <c r="E21" s="86">
        <f>D21*E3</f>
        <v>1.3440000000000001</v>
      </c>
      <c r="F21" s="91">
        <f t="shared" si="0"/>
        <v>20.544</v>
      </c>
      <c r="G21" s="92">
        <v>24.509333333333331</v>
      </c>
      <c r="H21" s="90">
        <f>F21+G21+L21</f>
        <v>46.053333333333327</v>
      </c>
      <c r="I21" s="93">
        <f>C21-H21</f>
        <v>13.946666666666673</v>
      </c>
      <c r="J21" s="87">
        <v>5</v>
      </c>
      <c r="K21" s="87"/>
      <c r="L21" s="87">
        <v>1</v>
      </c>
      <c r="N21" s="90">
        <v>60</v>
      </c>
      <c r="O21" s="90">
        <f>N21-O3</f>
        <v>51</v>
      </c>
      <c r="P21" s="105">
        <f>O21*P3</f>
        <v>16.32</v>
      </c>
      <c r="Q21" s="105">
        <f>P21*Q3</f>
        <v>1.1424000000000001</v>
      </c>
      <c r="R21" s="106">
        <f t="shared" si="1"/>
        <v>17.462399999999999</v>
      </c>
      <c r="S21" s="92">
        <v>24.509333333333331</v>
      </c>
      <c r="T21" s="90">
        <f t="shared" si="3"/>
        <v>42.971733333333333</v>
      </c>
      <c r="U21" s="87">
        <v>1</v>
      </c>
      <c r="V21" s="93">
        <f t="shared" si="2"/>
        <v>8.0282666666666671</v>
      </c>
    </row>
    <row r="22" spans="1:22" ht="34.799999999999997" x14ac:dyDescent="0.85">
      <c r="A22" s="88">
        <v>16</v>
      </c>
      <c r="B22" s="89" t="s">
        <v>100</v>
      </c>
      <c r="C22" s="90">
        <v>65</v>
      </c>
      <c r="D22" s="86">
        <f>C22*D3</f>
        <v>20.8</v>
      </c>
      <c r="E22" s="86">
        <f>D22*E3</f>
        <v>1.4560000000000002</v>
      </c>
      <c r="F22" s="91">
        <f t="shared" si="0"/>
        <v>22.256</v>
      </c>
      <c r="G22" s="92">
        <v>25.60393333333333</v>
      </c>
      <c r="H22" s="90">
        <f>F22+G22+L22</f>
        <v>48.859933333333331</v>
      </c>
      <c r="I22" s="93">
        <f>C22-H22</f>
        <v>16.140066666666669</v>
      </c>
      <c r="J22" s="87">
        <v>5</v>
      </c>
      <c r="K22" s="87"/>
      <c r="L22" s="87">
        <v>1</v>
      </c>
      <c r="N22" s="90">
        <v>65</v>
      </c>
      <c r="O22" s="90">
        <f>N22-O3</f>
        <v>56</v>
      </c>
      <c r="P22" s="105">
        <f>O22*P3</f>
        <v>17.920000000000002</v>
      </c>
      <c r="Q22" s="105">
        <f>P22*Q3</f>
        <v>1.2544000000000002</v>
      </c>
      <c r="R22" s="106">
        <f t="shared" si="1"/>
        <v>19.174400000000002</v>
      </c>
      <c r="S22" s="92">
        <v>25.60393333333333</v>
      </c>
      <c r="T22" s="90">
        <f t="shared" si="3"/>
        <v>45.778333333333336</v>
      </c>
      <c r="U22" s="87">
        <v>1</v>
      </c>
      <c r="V22" s="93">
        <f t="shared" si="2"/>
        <v>10.221666666666664</v>
      </c>
    </row>
    <row r="23" spans="1:22" ht="34.799999999999997" x14ac:dyDescent="0.85">
      <c r="A23" s="88"/>
      <c r="B23" s="89"/>
      <c r="C23" s="90"/>
      <c r="D23" s="86"/>
      <c r="E23" s="86"/>
      <c r="F23" s="91"/>
      <c r="G23" s="92"/>
      <c r="H23" s="90"/>
      <c r="I23" s="93"/>
      <c r="J23" s="87"/>
      <c r="K23" s="87"/>
      <c r="L23" s="87"/>
      <c r="N23" s="90"/>
      <c r="O23" s="90"/>
      <c r="P23" s="105"/>
      <c r="Q23" s="105"/>
      <c r="R23" s="106"/>
      <c r="S23" s="92"/>
      <c r="T23" s="90">
        <f t="shared" si="3"/>
        <v>0</v>
      </c>
      <c r="U23" s="87"/>
      <c r="V23" s="93">
        <f t="shared" si="2"/>
        <v>0</v>
      </c>
    </row>
    <row r="24" spans="1:22" ht="34.799999999999997" x14ac:dyDescent="0.85">
      <c r="A24" s="88">
        <v>17</v>
      </c>
      <c r="B24" s="89" t="s">
        <v>40</v>
      </c>
      <c r="C24" s="90">
        <v>85</v>
      </c>
      <c r="D24" s="86">
        <f>C24*D3</f>
        <v>27.2</v>
      </c>
      <c r="E24" s="86">
        <f>D24*E3</f>
        <v>1.9040000000000001</v>
      </c>
      <c r="F24" s="91">
        <f t="shared" si="0"/>
        <v>29.103999999999999</v>
      </c>
      <c r="G24" s="92">
        <v>35.733533333333334</v>
      </c>
      <c r="H24" s="90">
        <f>F24+G24+L24</f>
        <v>65.83753333333334</v>
      </c>
      <c r="I24" s="93">
        <f>C24-H24</f>
        <v>19.16246666666666</v>
      </c>
      <c r="J24" s="87">
        <v>5</v>
      </c>
      <c r="K24" s="87"/>
      <c r="L24" s="87">
        <v>1</v>
      </c>
      <c r="N24" s="90">
        <v>85</v>
      </c>
      <c r="O24" s="90">
        <f>N24-O3</f>
        <v>76</v>
      </c>
      <c r="P24" s="105">
        <f>O24*P3</f>
        <v>24.32</v>
      </c>
      <c r="Q24" s="105">
        <f>P24*Q3</f>
        <v>1.7024000000000001</v>
      </c>
      <c r="R24" s="106">
        <f t="shared" si="1"/>
        <v>26.022400000000001</v>
      </c>
      <c r="S24" s="92">
        <v>35.733533333333334</v>
      </c>
      <c r="T24" s="90">
        <f t="shared" si="3"/>
        <v>62.755933333333331</v>
      </c>
      <c r="U24" s="87">
        <v>1</v>
      </c>
      <c r="V24" s="93">
        <f t="shared" si="2"/>
        <v>13.244066666666669</v>
      </c>
    </row>
    <row r="25" spans="1:22" ht="34.799999999999997" x14ac:dyDescent="0.85">
      <c r="A25" s="88">
        <v>18</v>
      </c>
      <c r="B25" s="89" t="s">
        <v>17</v>
      </c>
      <c r="C25" s="90">
        <v>51</v>
      </c>
      <c r="D25" s="86">
        <f>C25*D3</f>
        <v>16.32</v>
      </c>
      <c r="E25" s="86">
        <f>D25*E3</f>
        <v>1.1424000000000001</v>
      </c>
      <c r="F25" s="91">
        <f t="shared" si="0"/>
        <v>17.462399999999999</v>
      </c>
      <c r="G25" s="92">
        <v>16.003</v>
      </c>
      <c r="H25" s="90">
        <f>F25+G25+L25</f>
        <v>34.465400000000002</v>
      </c>
      <c r="I25" s="93">
        <f>C25-H25</f>
        <v>16.534599999999998</v>
      </c>
      <c r="J25" s="87">
        <v>5</v>
      </c>
      <c r="K25" s="87"/>
      <c r="L25" s="87">
        <v>1</v>
      </c>
      <c r="N25" s="90">
        <v>51</v>
      </c>
      <c r="O25" s="90">
        <f>N25-O3</f>
        <v>42</v>
      </c>
      <c r="P25" s="105">
        <f>O25*P3</f>
        <v>13.44</v>
      </c>
      <c r="Q25" s="105">
        <f>P25*Q3</f>
        <v>0.94080000000000008</v>
      </c>
      <c r="R25" s="106">
        <f t="shared" si="1"/>
        <v>14.380799999999999</v>
      </c>
      <c r="S25" s="92">
        <v>16.003</v>
      </c>
      <c r="T25" s="90">
        <f t="shared" si="3"/>
        <v>31.383800000000001</v>
      </c>
      <c r="U25" s="87">
        <v>1</v>
      </c>
      <c r="V25" s="93">
        <f t="shared" si="2"/>
        <v>10.616199999999999</v>
      </c>
    </row>
    <row r="26" spans="1:22" ht="34.799999999999997" x14ac:dyDescent="0.85">
      <c r="A26" s="88">
        <v>19</v>
      </c>
      <c r="B26" s="89" t="s">
        <v>123</v>
      </c>
      <c r="C26" s="90">
        <v>70</v>
      </c>
      <c r="D26" s="86">
        <f>C26*D3</f>
        <v>22.400000000000002</v>
      </c>
      <c r="E26" s="86">
        <f>D26*E3</f>
        <v>1.5680000000000003</v>
      </c>
      <c r="F26" s="91">
        <f t="shared" si="0"/>
        <v>23.968000000000004</v>
      </c>
      <c r="G26" s="92">
        <v>29.721714285714288</v>
      </c>
      <c r="H26" s="90">
        <f>F26+G26+L26</f>
        <v>54.689714285714288</v>
      </c>
      <c r="I26" s="93">
        <f>C26-H26</f>
        <v>15.310285714285712</v>
      </c>
      <c r="J26" s="87">
        <v>5</v>
      </c>
      <c r="K26" s="87"/>
      <c r="L26" s="87">
        <v>1</v>
      </c>
      <c r="N26" s="90">
        <v>70</v>
      </c>
      <c r="O26" s="90">
        <f>N26-O3</f>
        <v>61</v>
      </c>
      <c r="P26" s="105">
        <f>O26*P3</f>
        <v>19.52</v>
      </c>
      <c r="Q26" s="105">
        <f>P26*Q3</f>
        <v>1.3664000000000001</v>
      </c>
      <c r="R26" s="106">
        <f t="shared" si="1"/>
        <v>20.886399999999998</v>
      </c>
      <c r="S26" s="92">
        <v>29.721714285714288</v>
      </c>
      <c r="T26" s="90">
        <f t="shared" si="3"/>
        <v>51.608114285714286</v>
      </c>
      <c r="U26" s="87">
        <v>1</v>
      </c>
      <c r="V26" s="93">
        <f t="shared" si="2"/>
        <v>9.3918857142857135</v>
      </c>
    </row>
    <row r="27" spans="1:22" ht="34.799999999999997" x14ac:dyDescent="0.85">
      <c r="A27" s="88">
        <v>20</v>
      </c>
      <c r="B27" s="89" t="s">
        <v>124</v>
      </c>
      <c r="C27" s="90">
        <v>70</v>
      </c>
      <c r="D27" s="86">
        <f>C27*D3</f>
        <v>22.400000000000002</v>
      </c>
      <c r="E27" s="86">
        <f>D27*E3</f>
        <v>1.5680000000000003</v>
      </c>
      <c r="F27" s="91">
        <f t="shared" si="0"/>
        <v>23.968000000000004</v>
      </c>
      <c r="G27" s="92">
        <v>29.721714285714288</v>
      </c>
      <c r="H27" s="90">
        <f>F27+G27+L27</f>
        <v>54.689714285714288</v>
      </c>
      <c r="I27" s="93">
        <f>C27-H27</f>
        <v>15.310285714285712</v>
      </c>
      <c r="J27" s="87">
        <v>5</v>
      </c>
      <c r="K27" s="87"/>
      <c r="L27" s="87">
        <v>1</v>
      </c>
      <c r="N27" s="90">
        <v>70</v>
      </c>
      <c r="O27" s="90">
        <f>N27-O3</f>
        <v>61</v>
      </c>
      <c r="P27" s="105">
        <f>O27*P3</f>
        <v>19.52</v>
      </c>
      <c r="Q27" s="105">
        <f>P27*Q3</f>
        <v>1.3664000000000001</v>
      </c>
      <c r="R27" s="106">
        <f t="shared" si="1"/>
        <v>20.886399999999998</v>
      </c>
      <c r="S27" s="92">
        <v>29.721714285714288</v>
      </c>
      <c r="T27" s="90">
        <f t="shared" si="3"/>
        <v>51.608114285714286</v>
      </c>
      <c r="U27" s="87">
        <v>1</v>
      </c>
      <c r="V27" s="93">
        <f t="shared" si="2"/>
        <v>9.3918857142857135</v>
      </c>
    </row>
    <row r="28" spans="1:22" ht="34.799999999999997" x14ac:dyDescent="0.85">
      <c r="A28" s="88"/>
      <c r="B28" s="89"/>
      <c r="C28" s="90"/>
      <c r="D28" s="86"/>
      <c r="E28" s="86"/>
      <c r="F28" s="91"/>
      <c r="G28" s="92"/>
      <c r="H28" s="90"/>
      <c r="I28" s="93"/>
      <c r="J28" s="87"/>
      <c r="K28" s="87"/>
      <c r="L28" s="87"/>
      <c r="N28" s="90"/>
      <c r="O28" s="90"/>
      <c r="P28" s="105"/>
      <c r="Q28" s="105"/>
      <c r="R28" s="106"/>
      <c r="S28" s="92"/>
      <c r="T28" s="90">
        <f t="shared" si="3"/>
        <v>0</v>
      </c>
      <c r="U28" s="87"/>
      <c r="V28" s="93">
        <f t="shared" si="2"/>
        <v>0</v>
      </c>
    </row>
    <row r="29" spans="1:22" ht="34.799999999999997" x14ac:dyDescent="0.85">
      <c r="A29" s="88">
        <v>21</v>
      </c>
      <c r="B29" s="89" t="s">
        <v>121</v>
      </c>
      <c r="C29" s="90">
        <v>55</v>
      </c>
      <c r="D29" s="86">
        <f>C29*D3</f>
        <v>17.600000000000001</v>
      </c>
      <c r="E29" s="86">
        <f>D29*E3</f>
        <v>1.2320000000000002</v>
      </c>
      <c r="F29" s="91">
        <f t="shared" si="0"/>
        <v>18.832000000000001</v>
      </c>
      <c r="G29" s="92">
        <v>14.39</v>
      </c>
      <c r="H29" s="90">
        <f>F29+G29+L29</f>
        <v>34.222000000000001</v>
      </c>
      <c r="I29" s="93">
        <f>C29-H29</f>
        <v>20.777999999999999</v>
      </c>
      <c r="J29" s="87">
        <v>5</v>
      </c>
      <c r="K29" s="87"/>
      <c r="L29" s="87">
        <v>1</v>
      </c>
      <c r="N29" s="90">
        <v>55</v>
      </c>
      <c r="O29" s="90">
        <f>N29-O3</f>
        <v>46</v>
      </c>
      <c r="P29" s="105">
        <f>O29*P3</f>
        <v>14.72</v>
      </c>
      <c r="Q29" s="105">
        <f>P29*Q3</f>
        <v>1.0304000000000002</v>
      </c>
      <c r="R29" s="106">
        <f t="shared" si="1"/>
        <v>15.750400000000001</v>
      </c>
      <c r="S29" s="92">
        <v>14.39</v>
      </c>
      <c r="T29" s="90">
        <f t="shared" si="3"/>
        <v>31.1404</v>
      </c>
      <c r="U29" s="87">
        <v>1</v>
      </c>
      <c r="V29" s="93">
        <f t="shared" si="2"/>
        <v>14.8596</v>
      </c>
    </row>
    <row r="30" spans="1:22" ht="34.799999999999997" x14ac:dyDescent="0.85">
      <c r="A30" s="84">
        <v>22</v>
      </c>
      <c r="B30" s="89" t="s">
        <v>193</v>
      </c>
      <c r="C30" s="90">
        <v>55</v>
      </c>
      <c r="D30" s="86">
        <f>C30*D3</f>
        <v>17.600000000000001</v>
      </c>
      <c r="E30" s="86">
        <f>E3*D30</f>
        <v>1.2320000000000002</v>
      </c>
      <c r="F30" s="91">
        <f t="shared" ref="F30:F34" si="4">D30+E30</f>
        <v>18.832000000000001</v>
      </c>
      <c r="G30" s="92">
        <v>16.96</v>
      </c>
      <c r="H30" s="90">
        <f t="shared" ref="H30:H34" si="5">F30+G30+L30</f>
        <v>36.792000000000002</v>
      </c>
      <c r="I30" s="93">
        <f>C30-H30</f>
        <v>18.207999999999998</v>
      </c>
      <c r="J30" s="87">
        <v>5</v>
      </c>
      <c r="K30" s="87"/>
      <c r="L30" s="87">
        <v>1</v>
      </c>
      <c r="N30" s="90">
        <v>65</v>
      </c>
      <c r="O30" s="90">
        <f>N30-O3</f>
        <v>56</v>
      </c>
      <c r="P30" s="105">
        <f>O30*P3</f>
        <v>17.920000000000002</v>
      </c>
      <c r="Q30" s="105">
        <f>P30*Q3</f>
        <v>1.2544000000000002</v>
      </c>
      <c r="R30" s="106">
        <f t="shared" si="1"/>
        <v>19.174400000000002</v>
      </c>
      <c r="S30" s="92">
        <v>16.96</v>
      </c>
      <c r="T30" s="90">
        <f t="shared" si="3"/>
        <v>37.134399999999999</v>
      </c>
      <c r="U30" s="87">
        <v>1</v>
      </c>
      <c r="V30" s="93">
        <f t="shared" si="2"/>
        <v>18.865600000000001</v>
      </c>
    </row>
    <row r="31" spans="1:22" ht="34.799999999999997" x14ac:dyDescent="0.85">
      <c r="B31" s="89"/>
      <c r="C31" s="90"/>
      <c r="D31" s="86"/>
      <c r="E31" s="86"/>
      <c r="F31" s="91"/>
      <c r="G31" s="92"/>
      <c r="H31" s="90"/>
      <c r="I31" s="93"/>
      <c r="J31" s="87"/>
      <c r="K31" s="87"/>
      <c r="L31" s="87"/>
      <c r="N31" s="90"/>
      <c r="O31" s="90"/>
      <c r="P31" s="105"/>
      <c r="Q31" s="105"/>
      <c r="R31" s="106"/>
      <c r="S31" s="92"/>
      <c r="T31" s="90">
        <f t="shared" si="3"/>
        <v>0</v>
      </c>
      <c r="U31" s="87"/>
      <c r="V31" s="93">
        <f t="shared" si="2"/>
        <v>0</v>
      </c>
    </row>
    <row r="32" spans="1:22" ht="34.799999999999997" x14ac:dyDescent="0.85">
      <c r="A32" s="84">
        <v>23</v>
      </c>
      <c r="B32" s="89" t="s">
        <v>187</v>
      </c>
      <c r="C32" s="90">
        <v>65</v>
      </c>
      <c r="D32" s="86">
        <f>C32*D3</f>
        <v>20.8</v>
      </c>
      <c r="E32" s="86">
        <f>E3*D32</f>
        <v>1.4560000000000002</v>
      </c>
      <c r="F32" s="91">
        <f t="shared" si="4"/>
        <v>22.256</v>
      </c>
      <c r="G32" s="92">
        <v>10.27</v>
      </c>
      <c r="H32" s="90">
        <f t="shared" si="5"/>
        <v>33.525999999999996</v>
      </c>
      <c r="I32" s="93">
        <f>C32-H32</f>
        <v>31.474000000000004</v>
      </c>
      <c r="J32" s="87">
        <v>5</v>
      </c>
      <c r="K32" s="87"/>
      <c r="L32" s="87">
        <v>1</v>
      </c>
      <c r="N32" s="90">
        <v>65</v>
      </c>
      <c r="O32" s="90">
        <f>N32-O3</f>
        <v>56</v>
      </c>
      <c r="P32" s="105">
        <f>O32*P3</f>
        <v>17.920000000000002</v>
      </c>
      <c r="Q32" s="105">
        <f>P32*Q3</f>
        <v>1.2544000000000002</v>
      </c>
      <c r="R32" s="106">
        <f t="shared" si="1"/>
        <v>19.174400000000002</v>
      </c>
      <c r="S32" s="92">
        <v>10.27</v>
      </c>
      <c r="T32" s="90">
        <f t="shared" si="3"/>
        <v>30.444400000000002</v>
      </c>
      <c r="U32" s="87">
        <v>1</v>
      </c>
      <c r="V32" s="93">
        <f t="shared" si="2"/>
        <v>25.555599999999998</v>
      </c>
    </row>
    <row r="33" spans="1:22" ht="34.799999999999997" x14ac:dyDescent="0.85">
      <c r="A33" s="84">
        <v>24</v>
      </c>
      <c r="B33" s="89" t="s">
        <v>194</v>
      </c>
      <c r="C33" s="90">
        <v>75</v>
      </c>
      <c r="D33" s="86">
        <f>C33*D3</f>
        <v>24</v>
      </c>
      <c r="E33" s="86">
        <f>E3*D33</f>
        <v>1.6800000000000002</v>
      </c>
      <c r="F33" s="91">
        <f t="shared" si="4"/>
        <v>25.68</v>
      </c>
      <c r="G33" s="92">
        <v>19.690000000000001</v>
      </c>
      <c r="H33" s="90">
        <f t="shared" si="5"/>
        <v>46.370000000000005</v>
      </c>
      <c r="I33" s="93">
        <f>C33-H33</f>
        <v>28.629999999999995</v>
      </c>
      <c r="J33" s="87">
        <v>5</v>
      </c>
      <c r="K33" s="87"/>
      <c r="L33" s="87">
        <v>1</v>
      </c>
      <c r="N33" s="90">
        <v>75</v>
      </c>
      <c r="O33" s="90">
        <f>N33-O3</f>
        <v>66</v>
      </c>
      <c r="P33" s="105">
        <f>O33*P3</f>
        <v>21.12</v>
      </c>
      <c r="Q33" s="105">
        <f>P33*Q3</f>
        <v>1.4784000000000002</v>
      </c>
      <c r="R33" s="106">
        <f t="shared" si="1"/>
        <v>22.598400000000002</v>
      </c>
      <c r="S33" s="92">
        <v>19.690000000000001</v>
      </c>
      <c r="T33" s="90">
        <f t="shared" si="3"/>
        <v>43.288400000000003</v>
      </c>
      <c r="U33" s="87">
        <v>1</v>
      </c>
      <c r="V33" s="93">
        <f t="shared" si="2"/>
        <v>22.711599999999997</v>
      </c>
    </row>
    <row r="34" spans="1:22" ht="34.799999999999997" x14ac:dyDescent="0.85">
      <c r="A34" s="84">
        <v>25</v>
      </c>
      <c r="B34" s="89" t="s">
        <v>196</v>
      </c>
      <c r="C34" s="90">
        <v>98</v>
      </c>
      <c r="D34" s="86">
        <f>C34*D3</f>
        <v>31.36</v>
      </c>
      <c r="E34" s="86">
        <f>E3*D34</f>
        <v>2.1952000000000003</v>
      </c>
      <c r="F34" s="91">
        <f t="shared" si="4"/>
        <v>33.555199999999999</v>
      </c>
      <c r="G34" s="92">
        <v>34.321238095238101</v>
      </c>
      <c r="H34" s="90">
        <f t="shared" si="5"/>
        <v>68.8764380952381</v>
      </c>
      <c r="I34" s="93">
        <f>C34-H34</f>
        <v>29.1235619047619</v>
      </c>
      <c r="J34" s="87">
        <v>5</v>
      </c>
      <c r="K34" s="87"/>
      <c r="L34" s="87">
        <v>1</v>
      </c>
      <c r="N34" s="90">
        <v>98</v>
      </c>
      <c r="O34" s="90">
        <f>N34-O3</f>
        <v>89</v>
      </c>
      <c r="P34" s="105">
        <f>O34*P3</f>
        <v>28.48</v>
      </c>
      <c r="Q34" s="105">
        <f>P34*Q3</f>
        <v>1.9936000000000003</v>
      </c>
      <c r="R34" s="106">
        <f t="shared" si="1"/>
        <v>30.473600000000001</v>
      </c>
      <c r="S34" s="92">
        <v>34.321238095238101</v>
      </c>
      <c r="T34" s="90">
        <f t="shared" si="3"/>
        <v>65.794838095238106</v>
      </c>
      <c r="U34" s="87">
        <v>1</v>
      </c>
      <c r="V34" s="93">
        <f t="shared" si="2"/>
        <v>23.205161904761894</v>
      </c>
    </row>
    <row r="35" spans="1:22" x14ac:dyDescent="0.85">
      <c r="N35" s="104"/>
      <c r="O35" s="104"/>
      <c r="P35" s="104"/>
      <c r="Q35" s="104"/>
      <c r="R35" s="104"/>
      <c r="S35" s="104"/>
      <c r="T35" s="90">
        <f t="shared" si="3"/>
        <v>1</v>
      </c>
      <c r="U35" s="87">
        <v>1</v>
      </c>
      <c r="V35" s="93">
        <f t="shared" si="2"/>
        <v>-1</v>
      </c>
    </row>
    <row r="36" spans="1:22" ht="34.799999999999997" x14ac:dyDescent="0.85">
      <c r="A36" s="88">
        <v>1</v>
      </c>
      <c r="B36" s="89" t="s">
        <v>199</v>
      </c>
      <c r="C36" s="90">
        <v>70</v>
      </c>
      <c r="D36" s="86">
        <f>D3*C36</f>
        <v>22.400000000000002</v>
      </c>
      <c r="E36" s="86">
        <f>E3*D36</f>
        <v>1.5680000000000003</v>
      </c>
      <c r="F36" s="91">
        <f>D36+E36</f>
        <v>23.968000000000004</v>
      </c>
      <c r="G36" s="92">
        <v>24.31</v>
      </c>
      <c r="H36" s="90">
        <f>F36+G36+L36</f>
        <v>49.278000000000006</v>
      </c>
      <c r="I36" s="93">
        <f>C36-H36</f>
        <v>20.721999999999994</v>
      </c>
      <c r="J36" s="87"/>
      <c r="K36" s="87">
        <v>30</v>
      </c>
      <c r="L36" s="87">
        <v>1</v>
      </c>
      <c r="N36" s="84">
        <v>70</v>
      </c>
      <c r="O36" s="84">
        <f>N36-O3</f>
        <v>61</v>
      </c>
      <c r="P36" s="84">
        <f>P3*O36</f>
        <v>19.52</v>
      </c>
      <c r="Q36" s="84">
        <f>Q3*P36</f>
        <v>1.3664000000000001</v>
      </c>
      <c r="R36" s="84">
        <f>P36+Q36</f>
        <v>20.886399999999998</v>
      </c>
      <c r="S36" s="84">
        <v>24.31</v>
      </c>
      <c r="T36" s="90">
        <f t="shared" si="3"/>
        <v>46.196399999999997</v>
      </c>
      <c r="U36" s="87">
        <v>1</v>
      </c>
      <c r="V36" s="93">
        <f t="shared" si="2"/>
        <v>14.803600000000003</v>
      </c>
    </row>
  </sheetData>
  <mergeCells count="16">
    <mergeCell ref="U2:U3"/>
    <mergeCell ref="V2:V3"/>
    <mergeCell ref="N2:N3"/>
    <mergeCell ref="R2:R3"/>
    <mergeCell ref="S2:S3"/>
    <mergeCell ref="T2:T3"/>
    <mergeCell ref="A1:L1"/>
    <mergeCell ref="A2:B3"/>
    <mergeCell ref="G2:G3"/>
    <mergeCell ref="H2:H3"/>
    <mergeCell ref="I2:I3"/>
    <mergeCell ref="J2:J3"/>
    <mergeCell ref="K2:K3"/>
    <mergeCell ref="L2:L3"/>
    <mergeCell ref="C2:C3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1A88-73D9-41AD-90B2-065E2D278BA2}">
  <dimension ref="I5:I28"/>
  <sheetViews>
    <sheetView workbookViewId="0">
      <selection activeCell="A2" sqref="A2"/>
    </sheetView>
  </sheetViews>
  <sheetFormatPr defaultRowHeight="14.4" x14ac:dyDescent="0.3"/>
  <sheetData>
    <row r="5" spans="9:9" x14ac:dyDescent="0.3">
      <c r="I5">
        <v>32</v>
      </c>
    </row>
    <row r="6" spans="9:9" x14ac:dyDescent="0.3">
      <c r="I6">
        <v>22</v>
      </c>
    </row>
    <row r="7" spans="9:9" x14ac:dyDescent="0.3">
      <c r="I7">
        <v>30</v>
      </c>
    </row>
    <row r="8" spans="9:9" x14ac:dyDescent="0.3">
      <c r="I8">
        <v>32</v>
      </c>
    </row>
    <row r="9" spans="9:9" x14ac:dyDescent="0.3">
      <c r="I9">
        <v>18</v>
      </c>
    </row>
    <row r="10" spans="9:9" x14ac:dyDescent="0.3">
      <c r="I10">
        <v>43</v>
      </c>
    </row>
    <row r="11" spans="9:9" x14ac:dyDescent="0.3">
      <c r="I11">
        <v>22</v>
      </c>
    </row>
    <row r="12" spans="9:9" x14ac:dyDescent="0.3">
      <c r="I12">
        <v>24</v>
      </c>
    </row>
    <row r="13" spans="9:9" x14ac:dyDescent="0.3">
      <c r="I13">
        <v>21</v>
      </c>
    </row>
    <row r="14" spans="9:9" x14ac:dyDescent="0.3">
      <c r="I14">
        <v>50</v>
      </c>
    </row>
    <row r="15" spans="9:9" x14ac:dyDescent="0.3">
      <c r="I15">
        <v>24</v>
      </c>
    </row>
    <row r="16" spans="9:9" x14ac:dyDescent="0.3">
      <c r="I16">
        <v>47</v>
      </c>
    </row>
    <row r="17" spans="9:9" x14ac:dyDescent="0.3">
      <c r="I17">
        <v>42</v>
      </c>
    </row>
    <row r="18" spans="9:9" x14ac:dyDescent="0.3">
      <c r="I18">
        <v>11</v>
      </c>
    </row>
    <row r="19" spans="9:9" x14ac:dyDescent="0.3">
      <c r="I19">
        <v>26</v>
      </c>
    </row>
    <row r="20" spans="9:9" x14ac:dyDescent="0.3">
      <c r="I20">
        <v>26</v>
      </c>
    </row>
    <row r="21" spans="9:9" x14ac:dyDescent="0.3">
      <c r="I21">
        <v>23</v>
      </c>
    </row>
    <row r="22" spans="9:9" x14ac:dyDescent="0.3">
      <c r="I22">
        <v>27</v>
      </c>
    </row>
    <row r="23" spans="9:9" x14ac:dyDescent="0.3">
      <c r="I23">
        <v>45</v>
      </c>
    </row>
    <row r="24" spans="9:9" x14ac:dyDescent="0.3">
      <c r="I24">
        <v>67</v>
      </c>
    </row>
    <row r="25" spans="9:9" x14ac:dyDescent="0.3">
      <c r="I25">
        <v>33</v>
      </c>
    </row>
    <row r="26" spans="9:9" x14ac:dyDescent="0.3">
      <c r="I26">
        <v>29</v>
      </c>
    </row>
    <row r="27" spans="9:9" x14ac:dyDescent="0.3">
      <c r="I27">
        <v>27</v>
      </c>
    </row>
    <row r="28" spans="9:9" x14ac:dyDescent="0.3">
      <c r="I28">
        <f>SUM(I5:I27)</f>
        <v>721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0D2B-F728-45EE-B294-207A0EC54AAA}">
  <dimension ref="A1:AC34"/>
  <sheetViews>
    <sheetView topLeftCell="B2" zoomScale="60" zoomScaleNormal="60" workbookViewId="0">
      <selection activeCell="AA16" sqref="AA16"/>
    </sheetView>
  </sheetViews>
  <sheetFormatPr defaultRowHeight="14.4" x14ac:dyDescent="0.3"/>
  <cols>
    <col min="1" max="1" width="4.21875" bestFit="1" customWidth="1"/>
    <col min="2" max="2" width="31.77734375" bestFit="1" customWidth="1"/>
    <col min="3" max="3" width="12" bestFit="1" customWidth="1"/>
    <col min="4" max="5" width="10.88671875" hidden="1" customWidth="1"/>
    <col min="6" max="6" width="17.5546875" bestFit="1" customWidth="1"/>
    <col min="7" max="7" width="17" bestFit="1" customWidth="1"/>
    <col min="8" max="8" width="35.88671875" bestFit="1" customWidth="1"/>
    <col min="9" max="9" width="12.5546875" bestFit="1" customWidth="1"/>
    <col min="10" max="10" width="13.109375" hidden="1" customWidth="1"/>
    <col min="11" max="11" width="11.44140625" hidden="1" customWidth="1"/>
    <col min="12" max="12" width="19.77734375" hidden="1" customWidth="1"/>
    <col min="13" max="13" width="4.21875" customWidth="1"/>
    <col min="14" max="14" width="31.77734375" customWidth="1"/>
    <col min="15" max="15" width="12" customWidth="1"/>
    <col min="16" max="17" width="10.88671875" hidden="1" customWidth="1"/>
    <col min="18" max="18" width="17.5546875" bestFit="1" customWidth="1"/>
    <col min="19" max="19" width="17" bestFit="1" customWidth="1"/>
    <col min="20" max="20" width="35.88671875" bestFit="1" customWidth="1"/>
    <col min="21" max="21" width="12.5546875" bestFit="1" customWidth="1"/>
    <col min="22" max="22" width="13.109375" hidden="1" customWidth="1"/>
    <col min="23" max="23" width="11.44140625" hidden="1" customWidth="1"/>
    <col min="24" max="24" width="19.77734375" hidden="1" customWidth="1"/>
    <col min="25" max="25" width="4.21875" bestFit="1" customWidth="1"/>
    <col min="26" max="26" width="31.77734375" bestFit="1" customWidth="1"/>
    <col min="27" max="27" width="12" bestFit="1" customWidth="1"/>
    <col min="28" max="28" width="17" bestFit="1" customWidth="1"/>
    <col min="29" max="29" width="12.5546875" bestFit="1" customWidth="1"/>
  </cols>
  <sheetData>
    <row r="1" spans="1:29" ht="34.200000000000003" x14ac:dyDescent="0.3">
      <c r="A1" s="178" t="s">
        <v>132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9" t="s">
        <v>131</v>
      </c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80" t="s">
        <v>180</v>
      </c>
      <c r="Z1" s="180"/>
      <c r="AA1" s="180"/>
      <c r="AB1" s="180"/>
      <c r="AC1" s="180"/>
    </row>
    <row r="2" spans="1:29" ht="34.799999999999997" customHeight="1" x14ac:dyDescent="0.3">
      <c r="A2" s="160" t="s">
        <v>86</v>
      </c>
      <c r="B2" s="160"/>
      <c r="C2" s="162" t="s">
        <v>24</v>
      </c>
      <c r="D2" s="102" t="s">
        <v>129</v>
      </c>
      <c r="E2" s="102" t="s">
        <v>128</v>
      </c>
      <c r="F2" s="164" t="s">
        <v>130</v>
      </c>
      <c r="G2" s="166" t="s">
        <v>91</v>
      </c>
      <c r="H2" s="168" t="s">
        <v>192</v>
      </c>
      <c r="I2" s="170" t="s">
        <v>135</v>
      </c>
      <c r="J2" s="160" t="s">
        <v>122</v>
      </c>
      <c r="K2" s="160" t="s">
        <v>59</v>
      </c>
      <c r="L2" s="155" t="s">
        <v>134</v>
      </c>
      <c r="M2" s="160" t="s">
        <v>86</v>
      </c>
      <c r="N2" s="160"/>
      <c r="O2" s="162" t="s">
        <v>24</v>
      </c>
      <c r="P2" s="102" t="s">
        <v>129</v>
      </c>
      <c r="Q2" s="102" t="s">
        <v>128</v>
      </c>
      <c r="R2" s="164" t="s">
        <v>130</v>
      </c>
      <c r="S2" s="166" t="s">
        <v>91</v>
      </c>
      <c r="T2" s="168" t="s">
        <v>192</v>
      </c>
      <c r="U2" s="170" t="s">
        <v>135</v>
      </c>
      <c r="V2" s="160" t="s">
        <v>122</v>
      </c>
      <c r="W2" s="160" t="s">
        <v>59</v>
      </c>
      <c r="X2" s="155" t="s">
        <v>134</v>
      </c>
      <c r="Y2" s="160" t="s">
        <v>86</v>
      </c>
      <c r="Z2" s="160"/>
      <c r="AA2" s="162" t="s">
        <v>24</v>
      </c>
      <c r="AB2" s="166" t="s">
        <v>91</v>
      </c>
      <c r="AC2" s="170" t="s">
        <v>135</v>
      </c>
    </row>
    <row r="3" spans="1:29" ht="34.799999999999997" x14ac:dyDescent="0.3">
      <c r="A3" s="160"/>
      <c r="B3" s="160"/>
      <c r="C3" s="162"/>
      <c r="D3" s="85">
        <v>0.3</v>
      </c>
      <c r="E3" s="85">
        <v>7.0000000000000007E-2</v>
      </c>
      <c r="F3" s="164"/>
      <c r="G3" s="166"/>
      <c r="H3" s="168"/>
      <c r="I3" s="170"/>
      <c r="J3" s="160"/>
      <c r="K3" s="160"/>
      <c r="L3" s="155"/>
      <c r="M3" s="160"/>
      <c r="N3" s="160"/>
      <c r="O3" s="162"/>
      <c r="P3" s="85">
        <v>0.32</v>
      </c>
      <c r="Q3" s="85">
        <v>7.0000000000000007E-2</v>
      </c>
      <c r="R3" s="164"/>
      <c r="S3" s="166"/>
      <c r="T3" s="168"/>
      <c r="U3" s="170"/>
      <c r="V3" s="160"/>
      <c r="W3" s="160"/>
      <c r="X3" s="155"/>
      <c r="Y3" s="160"/>
      <c r="Z3" s="160"/>
      <c r="AA3" s="162"/>
      <c r="AB3" s="166"/>
      <c r="AC3" s="170"/>
    </row>
    <row r="4" spans="1:29" ht="34.799999999999997" x14ac:dyDescent="0.3">
      <c r="A4" s="88">
        <v>1</v>
      </c>
      <c r="B4" s="89" t="s">
        <v>172</v>
      </c>
      <c r="C4" s="90">
        <v>65</v>
      </c>
      <c r="D4" s="86">
        <f>C4*D3</f>
        <v>19.5</v>
      </c>
      <c r="E4" s="86">
        <f>D4*E3</f>
        <v>1.3650000000000002</v>
      </c>
      <c r="F4" s="91">
        <f>D4+E4</f>
        <v>20.865000000000002</v>
      </c>
      <c r="G4" s="92">
        <v>12.6056666666667</v>
      </c>
      <c r="H4" s="90">
        <f>F4+G4+L4</f>
        <v>34.470666666666702</v>
      </c>
      <c r="I4" s="93">
        <f>C4-H4-L4</f>
        <v>29.529333333333298</v>
      </c>
      <c r="J4" s="87"/>
      <c r="K4" s="87">
        <v>30</v>
      </c>
      <c r="L4" s="87">
        <v>1</v>
      </c>
      <c r="M4" s="88">
        <v>1</v>
      </c>
      <c r="N4" s="89" t="s">
        <v>172</v>
      </c>
      <c r="O4" s="90">
        <v>54</v>
      </c>
      <c r="P4" s="86">
        <f>O4*P3</f>
        <v>17.28</v>
      </c>
      <c r="Q4" s="86">
        <f>P4*Q3</f>
        <v>1.2096000000000002</v>
      </c>
      <c r="R4" s="91">
        <f>P4+Q4</f>
        <v>18.489600000000003</v>
      </c>
      <c r="S4" s="92">
        <v>12.6056666666667</v>
      </c>
      <c r="T4" s="90">
        <f>R4+S4+X4</f>
        <v>32.095266666666703</v>
      </c>
      <c r="U4" s="93">
        <f>O4-T4</f>
        <v>21.904733333333297</v>
      </c>
      <c r="V4" s="87"/>
      <c r="W4" s="87">
        <v>30</v>
      </c>
      <c r="X4" s="87">
        <v>1</v>
      </c>
      <c r="Y4" s="88">
        <v>1</v>
      </c>
      <c r="Z4" s="89" t="s">
        <v>172</v>
      </c>
      <c r="AA4" s="90">
        <v>45</v>
      </c>
      <c r="AB4" s="92">
        <v>12.6056666666667</v>
      </c>
      <c r="AC4" s="93">
        <f>AA4-AB4</f>
        <v>32.3943333333333</v>
      </c>
    </row>
    <row r="5" spans="1:29" ht="34.799999999999997" x14ac:dyDescent="0.3">
      <c r="A5" s="88">
        <v>2</v>
      </c>
      <c r="B5" s="89" t="s">
        <v>173</v>
      </c>
      <c r="C5" s="90">
        <v>95</v>
      </c>
      <c r="D5" s="86">
        <f>C5*D3</f>
        <v>28.5</v>
      </c>
      <c r="E5" s="86">
        <f>D5*E3</f>
        <v>1.9950000000000001</v>
      </c>
      <c r="F5" s="91">
        <f t="shared" ref="F5:F30" si="0">D5+E5</f>
        <v>30.495000000000001</v>
      </c>
      <c r="G5" s="92">
        <v>31.33</v>
      </c>
      <c r="H5" s="90">
        <f>F5+G5+L5</f>
        <v>62.825000000000003</v>
      </c>
      <c r="I5" s="93">
        <f t="shared" ref="I5:I30" si="1">C5-H5-L5</f>
        <v>31.174999999999997</v>
      </c>
      <c r="J5" s="87"/>
      <c r="K5" s="87"/>
      <c r="L5" s="87">
        <v>1</v>
      </c>
      <c r="M5" s="88">
        <v>2</v>
      </c>
      <c r="N5" s="89" t="s">
        <v>173</v>
      </c>
      <c r="O5" s="90">
        <v>97</v>
      </c>
      <c r="P5" s="86">
        <f>O5*P3</f>
        <v>31.04</v>
      </c>
      <c r="Q5" s="86">
        <f>P5*Q3</f>
        <v>2.1728000000000001</v>
      </c>
      <c r="R5" s="91">
        <f t="shared" ref="R5:R34" si="2">P5+Q5</f>
        <v>33.212800000000001</v>
      </c>
      <c r="S5" s="92">
        <v>31.33</v>
      </c>
      <c r="T5" s="90">
        <f>R5+S5+X5</f>
        <v>65.5428</v>
      </c>
      <c r="U5" s="93">
        <f>O5-T5</f>
        <v>31.4572</v>
      </c>
      <c r="V5" s="87"/>
      <c r="W5" s="87"/>
      <c r="X5" s="87">
        <v>1</v>
      </c>
      <c r="Y5" s="88">
        <v>2</v>
      </c>
      <c r="Z5" s="89" t="s">
        <v>173</v>
      </c>
      <c r="AA5" s="90">
        <v>80</v>
      </c>
      <c r="AB5" s="92">
        <v>31.33</v>
      </c>
      <c r="AC5" s="93">
        <f t="shared" ref="AC5:AC34" si="3">AA5-AB5</f>
        <v>48.67</v>
      </c>
    </row>
    <row r="6" spans="1:29" ht="34.799999999999997" x14ac:dyDescent="0.3">
      <c r="A6" s="88">
        <v>3</v>
      </c>
      <c r="B6" s="89" t="s">
        <v>191</v>
      </c>
      <c r="C6" s="90">
        <v>95</v>
      </c>
      <c r="D6" s="86">
        <f>C6*D3</f>
        <v>28.5</v>
      </c>
      <c r="E6" s="86">
        <f>D6*E3</f>
        <v>1.9950000000000001</v>
      </c>
      <c r="F6" s="91">
        <f t="shared" si="0"/>
        <v>30.495000000000001</v>
      </c>
      <c r="G6" s="92">
        <v>31.33</v>
      </c>
      <c r="H6" s="90">
        <f>F6+G6+L6</f>
        <v>62.825000000000003</v>
      </c>
      <c r="I6" s="93">
        <f t="shared" si="1"/>
        <v>31.174999999999997</v>
      </c>
      <c r="J6" s="87"/>
      <c r="K6" s="87"/>
      <c r="L6" s="87">
        <v>1</v>
      </c>
      <c r="M6" s="88">
        <v>3</v>
      </c>
      <c r="N6" s="89" t="s">
        <v>191</v>
      </c>
      <c r="O6" s="90">
        <v>97</v>
      </c>
      <c r="P6" s="86">
        <f>O6*P3</f>
        <v>31.04</v>
      </c>
      <c r="Q6" s="86">
        <f>P6*Q3</f>
        <v>2.1728000000000001</v>
      </c>
      <c r="R6" s="91">
        <f t="shared" si="2"/>
        <v>33.212800000000001</v>
      </c>
      <c r="S6" s="92">
        <v>31.33</v>
      </c>
      <c r="T6" s="90">
        <f>R6+S6+X6</f>
        <v>65.5428</v>
      </c>
      <c r="U6" s="93">
        <f>O6-T6</f>
        <v>31.4572</v>
      </c>
      <c r="V6" s="87"/>
      <c r="W6" s="87"/>
      <c r="X6" s="87">
        <v>1</v>
      </c>
      <c r="Y6" s="88">
        <v>3</v>
      </c>
      <c r="Z6" s="89" t="s">
        <v>191</v>
      </c>
      <c r="AA6" s="90">
        <v>80</v>
      </c>
      <c r="AB6" s="92">
        <v>31.33</v>
      </c>
      <c r="AC6" s="93">
        <f t="shared" si="3"/>
        <v>48.67</v>
      </c>
    </row>
    <row r="7" spans="1:29" ht="34.799999999999997" x14ac:dyDescent="0.3">
      <c r="A7" s="88"/>
      <c r="B7" s="89"/>
      <c r="C7" s="90"/>
      <c r="D7" s="86"/>
      <c r="E7" s="86"/>
      <c r="F7" s="91"/>
      <c r="G7" s="92"/>
      <c r="H7" s="90"/>
      <c r="I7" s="93"/>
      <c r="J7" s="87"/>
      <c r="K7" s="87"/>
      <c r="L7" s="87"/>
      <c r="M7" s="88"/>
      <c r="N7" s="89"/>
      <c r="O7" s="90"/>
      <c r="P7" s="86"/>
      <c r="Q7" s="86"/>
      <c r="R7" s="91"/>
      <c r="S7" s="92"/>
      <c r="T7" s="90"/>
      <c r="U7" s="93"/>
      <c r="V7" s="87"/>
      <c r="W7" s="87"/>
      <c r="X7" s="87"/>
      <c r="Y7" s="88"/>
      <c r="Z7" s="89"/>
      <c r="AA7" s="90"/>
      <c r="AB7" s="92"/>
      <c r="AC7" s="93"/>
    </row>
    <row r="8" spans="1:29" ht="34.799999999999997" x14ac:dyDescent="0.3">
      <c r="A8" s="88">
        <v>4</v>
      </c>
      <c r="B8" s="89" t="s">
        <v>36</v>
      </c>
      <c r="C8" s="90">
        <v>70</v>
      </c>
      <c r="D8" s="86">
        <f>C8*D3</f>
        <v>21</v>
      </c>
      <c r="E8" s="86">
        <f>D8*E3</f>
        <v>1.4700000000000002</v>
      </c>
      <c r="F8" s="91">
        <f t="shared" si="0"/>
        <v>22.47</v>
      </c>
      <c r="G8" s="92">
        <v>21.88</v>
      </c>
      <c r="H8" s="90">
        <f>F8+G8+L8</f>
        <v>45.349999999999994</v>
      </c>
      <c r="I8" s="93">
        <f t="shared" si="1"/>
        <v>23.650000000000006</v>
      </c>
      <c r="J8" s="87">
        <v>5</v>
      </c>
      <c r="K8" s="87">
        <v>30</v>
      </c>
      <c r="L8" s="87">
        <v>1</v>
      </c>
      <c r="M8" s="88">
        <v>4</v>
      </c>
      <c r="N8" s="89" t="s">
        <v>36</v>
      </c>
      <c r="O8" s="90">
        <v>70</v>
      </c>
      <c r="P8" s="86">
        <f>O8*P3</f>
        <v>22.400000000000002</v>
      </c>
      <c r="Q8" s="86">
        <f>P8*Q3</f>
        <v>1.5680000000000003</v>
      </c>
      <c r="R8" s="91">
        <f t="shared" si="2"/>
        <v>23.968000000000004</v>
      </c>
      <c r="S8" s="92">
        <v>21.88</v>
      </c>
      <c r="T8" s="90">
        <f>R8+S8+X8</f>
        <v>46.847999999999999</v>
      </c>
      <c r="U8" s="93">
        <f>O8-T8</f>
        <v>23.152000000000001</v>
      </c>
      <c r="V8" s="87">
        <v>5</v>
      </c>
      <c r="W8" s="87">
        <v>30</v>
      </c>
      <c r="X8" s="87">
        <v>1</v>
      </c>
      <c r="Y8" s="88">
        <v>4</v>
      </c>
      <c r="Z8" s="89" t="s">
        <v>36</v>
      </c>
      <c r="AA8" s="90">
        <v>55</v>
      </c>
      <c r="AB8" s="92">
        <v>21.88</v>
      </c>
      <c r="AC8" s="93">
        <f t="shared" si="3"/>
        <v>33.120000000000005</v>
      </c>
    </row>
    <row r="9" spans="1:29" ht="34.799999999999997" x14ac:dyDescent="0.3">
      <c r="A9" s="88">
        <v>5</v>
      </c>
      <c r="B9" s="89" t="s">
        <v>72</v>
      </c>
      <c r="C9" s="90">
        <v>70</v>
      </c>
      <c r="D9" s="86">
        <f>C9*D3</f>
        <v>21</v>
      </c>
      <c r="E9" s="86">
        <f>D9*E3</f>
        <v>1.4700000000000002</v>
      </c>
      <c r="F9" s="91">
        <f t="shared" si="0"/>
        <v>22.47</v>
      </c>
      <c r="G9" s="92">
        <v>18.46</v>
      </c>
      <c r="H9" s="90">
        <f>F9+G9+L9</f>
        <v>41.93</v>
      </c>
      <c r="I9" s="93">
        <f t="shared" si="1"/>
        <v>27.07</v>
      </c>
      <c r="J9" s="87">
        <v>5</v>
      </c>
      <c r="K9" s="87">
        <v>30</v>
      </c>
      <c r="L9" s="87">
        <v>1</v>
      </c>
      <c r="M9" s="88">
        <v>5</v>
      </c>
      <c r="N9" s="89" t="s">
        <v>72</v>
      </c>
      <c r="O9" s="90">
        <v>70</v>
      </c>
      <c r="P9" s="86">
        <f>O9*P3</f>
        <v>22.400000000000002</v>
      </c>
      <c r="Q9" s="86">
        <f>P9*Q3</f>
        <v>1.5680000000000003</v>
      </c>
      <c r="R9" s="91">
        <f t="shared" si="2"/>
        <v>23.968000000000004</v>
      </c>
      <c r="S9" s="92">
        <v>18.46</v>
      </c>
      <c r="T9" s="90">
        <f>R9+S9+X9</f>
        <v>43.428000000000004</v>
      </c>
      <c r="U9" s="93">
        <f>O9-T9</f>
        <v>26.571999999999996</v>
      </c>
      <c r="V9" s="87">
        <v>5</v>
      </c>
      <c r="W9" s="87">
        <v>30</v>
      </c>
      <c r="X9" s="87">
        <v>1</v>
      </c>
      <c r="Y9" s="88">
        <v>5</v>
      </c>
      <c r="Z9" s="89" t="s">
        <v>72</v>
      </c>
      <c r="AA9" s="90">
        <v>55</v>
      </c>
      <c r="AB9" s="92">
        <v>18.46</v>
      </c>
      <c r="AC9" s="93">
        <f t="shared" si="3"/>
        <v>36.54</v>
      </c>
    </row>
    <row r="10" spans="1:29" ht="34.799999999999997" x14ac:dyDescent="0.3">
      <c r="A10" s="88">
        <v>6</v>
      </c>
      <c r="B10" s="89" t="s">
        <v>74</v>
      </c>
      <c r="C10" s="90">
        <v>80</v>
      </c>
      <c r="D10" s="86">
        <f>C10*D3</f>
        <v>24</v>
      </c>
      <c r="E10" s="86">
        <f>D10*E3</f>
        <v>1.6800000000000002</v>
      </c>
      <c r="F10" s="91">
        <f t="shared" si="0"/>
        <v>25.68</v>
      </c>
      <c r="G10" s="92">
        <v>18.884666666666664</v>
      </c>
      <c r="H10" s="90">
        <f>F10+G10+L10</f>
        <v>45.564666666666668</v>
      </c>
      <c r="I10" s="93">
        <f t="shared" si="1"/>
        <v>33.435333333333332</v>
      </c>
      <c r="J10" s="87">
        <v>5</v>
      </c>
      <c r="K10" s="87">
        <v>30</v>
      </c>
      <c r="L10" s="87">
        <v>1</v>
      </c>
      <c r="M10" s="88">
        <v>6</v>
      </c>
      <c r="N10" s="89" t="s">
        <v>74</v>
      </c>
      <c r="O10" s="90">
        <v>75</v>
      </c>
      <c r="P10" s="86">
        <f>O10*P3</f>
        <v>24</v>
      </c>
      <c r="Q10" s="86">
        <f>P10*Q3</f>
        <v>1.6800000000000002</v>
      </c>
      <c r="R10" s="91">
        <f t="shared" si="2"/>
        <v>25.68</v>
      </c>
      <c r="S10" s="92">
        <v>18.884666666666664</v>
      </c>
      <c r="T10" s="90">
        <f>R10+S10+X10</f>
        <v>45.564666666666668</v>
      </c>
      <c r="U10" s="93">
        <f>O10-T10</f>
        <v>29.435333333333332</v>
      </c>
      <c r="V10" s="87">
        <v>5</v>
      </c>
      <c r="W10" s="87">
        <v>30</v>
      </c>
      <c r="X10" s="87">
        <v>1</v>
      </c>
      <c r="Y10" s="88">
        <v>6</v>
      </c>
      <c r="Z10" s="89" t="s">
        <v>74</v>
      </c>
      <c r="AA10" s="90">
        <v>60</v>
      </c>
      <c r="AB10" s="92">
        <v>18.884666666666664</v>
      </c>
      <c r="AC10" s="93">
        <f t="shared" si="3"/>
        <v>41.115333333333339</v>
      </c>
    </row>
    <row r="11" spans="1:29" ht="34.799999999999997" x14ac:dyDescent="0.3">
      <c r="A11" s="88">
        <v>7</v>
      </c>
      <c r="B11" s="89" t="s">
        <v>181</v>
      </c>
      <c r="C11" s="90">
        <v>55</v>
      </c>
      <c r="D11" s="86">
        <f>C11*D3</f>
        <v>16.5</v>
      </c>
      <c r="E11" s="86">
        <f>D11*E3</f>
        <v>1.155</v>
      </c>
      <c r="F11" s="91">
        <f t="shared" si="0"/>
        <v>17.655000000000001</v>
      </c>
      <c r="G11" s="92">
        <v>15.528933333333331</v>
      </c>
      <c r="H11" s="90">
        <f>F11+G11+L11</f>
        <v>34.183933333333329</v>
      </c>
      <c r="I11" s="93">
        <f t="shared" si="1"/>
        <v>19.816066666666671</v>
      </c>
      <c r="J11" s="87"/>
      <c r="K11" s="87"/>
      <c r="L11" s="87">
        <v>1</v>
      </c>
      <c r="M11" s="88">
        <v>7</v>
      </c>
      <c r="N11" s="89" t="s">
        <v>115</v>
      </c>
      <c r="O11" s="90">
        <v>30</v>
      </c>
      <c r="P11" s="86">
        <f>O11*P3</f>
        <v>9.6</v>
      </c>
      <c r="Q11" s="86">
        <f>P11*Q3</f>
        <v>0.67200000000000004</v>
      </c>
      <c r="R11" s="91">
        <f t="shared" si="2"/>
        <v>10.272</v>
      </c>
      <c r="S11" s="92">
        <v>15.528933333333331</v>
      </c>
      <c r="T11" s="90">
        <f>R11+S11+X11</f>
        <v>26.800933333333333</v>
      </c>
      <c r="U11" s="93">
        <f>O11-T11</f>
        <v>3.1990666666666669</v>
      </c>
      <c r="V11" s="87">
        <v>5</v>
      </c>
      <c r="W11" s="87"/>
      <c r="X11" s="87">
        <v>1</v>
      </c>
      <c r="Y11" s="88">
        <v>7</v>
      </c>
      <c r="Z11" s="89" t="s">
        <v>181</v>
      </c>
      <c r="AA11" s="90">
        <v>40</v>
      </c>
      <c r="AB11" s="92">
        <v>15.528933333333331</v>
      </c>
      <c r="AC11" s="93">
        <f t="shared" si="3"/>
        <v>24.471066666666669</v>
      </c>
    </row>
    <row r="12" spans="1:29" ht="34.799999999999997" x14ac:dyDescent="0.3">
      <c r="A12" s="88"/>
      <c r="B12" s="89"/>
      <c r="C12" s="90"/>
      <c r="D12" s="86"/>
      <c r="E12" s="86"/>
      <c r="F12" s="91"/>
      <c r="G12" s="92"/>
      <c r="H12" s="90"/>
      <c r="I12" s="93"/>
      <c r="J12" s="87"/>
      <c r="K12" s="87"/>
      <c r="L12" s="87"/>
      <c r="M12" s="88"/>
      <c r="N12" s="89"/>
      <c r="O12" s="90"/>
      <c r="P12" s="86"/>
      <c r="Q12" s="86"/>
      <c r="R12" s="91"/>
      <c r="S12" s="92"/>
      <c r="T12" s="90"/>
      <c r="U12" s="93"/>
      <c r="V12" s="87"/>
      <c r="W12" s="87"/>
      <c r="X12" s="87"/>
      <c r="Y12" s="88"/>
      <c r="Z12" s="89"/>
      <c r="AA12" s="90"/>
      <c r="AB12" s="92"/>
      <c r="AC12" s="93"/>
    </row>
    <row r="13" spans="1:29" ht="34.799999999999997" x14ac:dyDescent="0.3">
      <c r="A13" s="88">
        <v>8</v>
      </c>
      <c r="B13" s="89" t="s">
        <v>89</v>
      </c>
      <c r="C13" s="90">
        <v>65</v>
      </c>
      <c r="D13" s="86">
        <f>C13*D3</f>
        <v>19.5</v>
      </c>
      <c r="E13" s="86">
        <f>D13*E3</f>
        <v>1.3650000000000002</v>
      </c>
      <c r="F13" s="91">
        <f t="shared" si="0"/>
        <v>20.865000000000002</v>
      </c>
      <c r="G13" s="92">
        <v>21.189999999999998</v>
      </c>
      <c r="H13" s="90">
        <f>F13+G13+L13</f>
        <v>43.055</v>
      </c>
      <c r="I13" s="93">
        <f t="shared" si="1"/>
        <v>20.945</v>
      </c>
      <c r="J13" s="87">
        <v>5</v>
      </c>
      <c r="K13" s="87">
        <v>30</v>
      </c>
      <c r="L13" s="87">
        <v>1</v>
      </c>
      <c r="M13" s="88">
        <v>8</v>
      </c>
      <c r="N13" s="89" t="s">
        <v>89</v>
      </c>
      <c r="O13" s="90">
        <v>60</v>
      </c>
      <c r="P13" s="86">
        <f>O13*P3</f>
        <v>19.2</v>
      </c>
      <c r="Q13" s="86">
        <f>P13*Q3</f>
        <v>1.3440000000000001</v>
      </c>
      <c r="R13" s="91">
        <f t="shared" si="2"/>
        <v>20.544</v>
      </c>
      <c r="S13" s="92">
        <v>21.189999999999998</v>
      </c>
      <c r="T13" s="90">
        <f>R13+S13+X13</f>
        <v>42.733999999999995</v>
      </c>
      <c r="U13" s="93">
        <f>O13-T13</f>
        <v>17.266000000000005</v>
      </c>
      <c r="V13" s="87">
        <v>5</v>
      </c>
      <c r="W13" s="87">
        <v>30</v>
      </c>
      <c r="X13" s="87">
        <v>1</v>
      </c>
      <c r="Y13" s="88">
        <v>8</v>
      </c>
      <c r="Z13" s="89" t="s">
        <v>89</v>
      </c>
      <c r="AA13" s="90">
        <v>60</v>
      </c>
      <c r="AB13" s="92">
        <v>27.92</v>
      </c>
      <c r="AC13" s="93">
        <f t="shared" si="3"/>
        <v>32.08</v>
      </c>
    </row>
    <row r="14" spans="1:29" ht="34.799999999999997" x14ac:dyDescent="0.3">
      <c r="A14" s="88">
        <v>9</v>
      </c>
      <c r="B14" s="89" t="s">
        <v>38</v>
      </c>
      <c r="C14" s="90">
        <v>75</v>
      </c>
      <c r="D14" s="86">
        <f>C14*D3</f>
        <v>22.5</v>
      </c>
      <c r="E14" s="86">
        <f>D14*E3</f>
        <v>1.5750000000000002</v>
      </c>
      <c r="F14" s="91">
        <f t="shared" si="0"/>
        <v>24.074999999999999</v>
      </c>
      <c r="G14" s="92">
        <v>23.608000000000001</v>
      </c>
      <c r="H14" s="90">
        <f>F14+G14+L14</f>
        <v>48.683</v>
      </c>
      <c r="I14" s="93">
        <f t="shared" si="1"/>
        <v>25.317</v>
      </c>
      <c r="J14" s="87">
        <v>5</v>
      </c>
      <c r="K14" s="87">
        <v>30</v>
      </c>
      <c r="L14" s="87">
        <v>1</v>
      </c>
      <c r="M14" s="88">
        <v>9</v>
      </c>
      <c r="N14" s="89" t="s">
        <v>38</v>
      </c>
      <c r="O14" s="90">
        <v>70</v>
      </c>
      <c r="P14" s="86">
        <f>O14*P3</f>
        <v>22.400000000000002</v>
      </c>
      <c r="Q14" s="86">
        <f>P14*Q3</f>
        <v>1.5680000000000003</v>
      </c>
      <c r="R14" s="91">
        <f t="shared" si="2"/>
        <v>23.968000000000004</v>
      </c>
      <c r="S14" s="92">
        <v>23.608000000000001</v>
      </c>
      <c r="T14" s="90">
        <f>R14+S14+X14</f>
        <v>48.576000000000008</v>
      </c>
      <c r="U14" s="93">
        <f>O14-T14</f>
        <v>21.423999999999992</v>
      </c>
      <c r="V14" s="87">
        <v>5</v>
      </c>
      <c r="W14" s="87">
        <v>30</v>
      </c>
      <c r="X14" s="87">
        <v>1</v>
      </c>
      <c r="Y14" s="88">
        <v>9</v>
      </c>
      <c r="Z14" s="89" t="s">
        <v>38</v>
      </c>
      <c r="AA14" s="90">
        <v>70</v>
      </c>
      <c r="AB14" s="92">
        <v>38.229999999999997</v>
      </c>
      <c r="AC14" s="93">
        <f t="shared" si="3"/>
        <v>31.770000000000003</v>
      </c>
    </row>
    <row r="15" spans="1:29" ht="34.799999999999997" x14ac:dyDescent="0.3">
      <c r="A15" s="88">
        <v>10</v>
      </c>
      <c r="B15" s="89" t="s">
        <v>176</v>
      </c>
      <c r="C15" s="90">
        <v>85</v>
      </c>
      <c r="D15" s="86">
        <f>C15*D3</f>
        <v>25.5</v>
      </c>
      <c r="E15" s="86">
        <f>D15*E3</f>
        <v>1.7850000000000001</v>
      </c>
      <c r="F15" s="91">
        <f t="shared" si="0"/>
        <v>27.285</v>
      </c>
      <c r="G15" s="92">
        <v>33.321785714285717</v>
      </c>
      <c r="H15" s="90">
        <f>F15+G15+L15</f>
        <v>61.606785714285721</v>
      </c>
      <c r="I15" s="93">
        <f t="shared" si="1"/>
        <v>22.393214285714279</v>
      </c>
      <c r="J15" s="87">
        <v>5</v>
      </c>
      <c r="K15" s="87">
        <v>30</v>
      </c>
      <c r="L15" s="87">
        <v>1</v>
      </c>
      <c r="M15" s="88">
        <v>10</v>
      </c>
      <c r="N15" s="89" t="s">
        <v>176</v>
      </c>
      <c r="O15" s="90">
        <v>75</v>
      </c>
      <c r="P15" s="86">
        <f>O15*P3</f>
        <v>24</v>
      </c>
      <c r="Q15" s="86">
        <f>P15*Q3</f>
        <v>1.6800000000000002</v>
      </c>
      <c r="R15" s="91">
        <f t="shared" si="2"/>
        <v>25.68</v>
      </c>
      <c r="S15" s="92">
        <v>33.321785714285717</v>
      </c>
      <c r="T15" s="90">
        <f>R15+S15+X15</f>
        <v>60.001785714285717</v>
      </c>
      <c r="U15" s="93">
        <f>O15-T15</f>
        <v>14.998214285714283</v>
      </c>
      <c r="V15" s="87">
        <v>5</v>
      </c>
      <c r="W15" s="87">
        <v>30</v>
      </c>
      <c r="X15" s="87">
        <v>1</v>
      </c>
      <c r="Y15" s="88">
        <v>10</v>
      </c>
      <c r="Z15" s="89" t="s">
        <v>176</v>
      </c>
      <c r="AA15" s="90">
        <v>70</v>
      </c>
      <c r="AB15" s="92">
        <v>33.321785714285717</v>
      </c>
      <c r="AC15" s="93">
        <f t="shared" si="3"/>
        <v>36.678214285714283</v>
      </c>
    </row>
    <row r="16" spans="1:29" ht="34.799999999999997" x14ac:dyDescent="0.3">
      <c r="A16" s="88">
        <v>11</v>
      </c>
      <c r="B16" s="89" t="s">
        <v>177</v>
      </c>
      <c r="C16" s="90">
        <v>85</v>
      </c>
      <c r="D16" s="86">
        <f>C16*D3</f>
        <v>25.5</v>
      </c>
      <c r="E16" s="86">
        <f>D16*E3</f>
        <v>1.7850000000000001</v>
      </c>
      <c r="F16" s="91">
        <f t="shared" si="0"/>
        <v>27.285</v>
      </c>
      <c r="G16" s="92">
        <v>33.321785714285717</v>
      </c>
      <c r="H16" s="90">
        <f>F16+G16+L16</f>
        <v>61.606785714285721</v>
      </c>
      <c r="I16" s="93">
        <f t="shared" si="1"/>
        <v>22.393214285714279</v>
      </c>
      <c r="J16" s="87">
        <v>5</v>
      </c>
      <c r="K16" s="87">
        <v>30</v>
      </c>
      <c r="L16" s="87">
        <v>1</v>
      </c>
      <c r="M16" s="88">
        <v>11</v>
      </c>
      <c r="N16" s="89" t="s">
        <v>177</v>
      </c>
      <c r="O16" s="90">
        <v>75</v>
      </c>
      <c r="P16" s="86">
        <f>O16*P3</f>
        <v>24</v>
      </c>
      <c r="Q16" s="86">
        <f>P16*Q3</f>
        <v>1.6800000000000002</v>
      </c>
      <c r="R16" s="91">
        <f t="shared" si="2"/>
        <v>25.68</v>
      </c>
      <c r="S16" s="92">
        <v>33.321785714285717</v>
      </c>
      <c r="T16" s="90">
        <f>R16+S16+X16</f>
        <v>60.001785714285717</v>
      </c>
      <c r="U16" s="93">
        <f>O16-T16</f>
        <v>14.998214285714283</v>
      </c>
      <c r="V16" s="87">
        <v>5</v>
      </c>
      <c r="W16" s="87">
        <v>30</v>
      </c>
      <c r="X16" s="87">
        <v>1</v>
      </c>
      <c r="Y16" s="88">
        <v>11</v>
      </c>
      <c r="Z16" s="89" t="s">
        <v>177</v>
      </c>
      <c r="AA16" s="90">
        <v>60</v>
      </c>
      <c r="AB16" s="92">
        <v>33.321785714285717</v>
      </c>
      <c r="AC16" s="93">
        <f t="shared" si="3"/>
        <v>26.678214285714283</v>
      </c>
    </row>
    <row r="17" spans="1:29" ht="34.799999999999997" x14ac:dyDescent="0.3">
      <c r="A17" s="88">
        <v>12</v>
      </c>
      <c r="B17" s="89" t="s">
        <v>110</v>
      </c>
      <c r="C17" s="90">
        <v>85</v>
      </c>
      <c r="D17" s="86">
        <f>C17*D3</f>
        <v>25.5</v>
      </c>
      <c r="E17" s="86">
        <f>D17*E3</f>
        <v>1.7850000000000001</v>
      </c>
      <c r="F17" s="91">
        <f t="shared" si="0"/>
        <v>27.285</v>
      </c>
      <c r="G17" s="92">
        <v>34.963314285714283</v>
      </c>
      <c r="H17" s="90">
        <f>F17+G17+L17</f>
        <v>63.248314285714287</v>
      </c>
      <c r="I17" s="93">
        <f t="shared" si="1"/>
        <v>20.751685714285713</v>
      </c>
      <c r="J17" s="87">
        <v>5</v>
      </c>
      <c r="K17" s="87">
        <v>30</v>
      </c>
      <c r="L17" s="87">
        <v>1</v>
      </c>
      <c r="M17" s="88">
        <v>12</v>
      </c>
      <c r="N17" s="89" t="s">
        <v>110</v>
      </c>
      <c r="O17" s="90">
        <v>80</v>
      </c>
      <c r="P17" s="86">
        <f>O17*P3</f>
        <v>25.6</v>
      </c>
      <c r="Q17" s="86">
        <f>P17*Q3</f>
        <v>1.7920000000000003</v>
      </c>
      <c r="R17" s="91">
        <f t="shared" si="2"/>
        <v>27.392000000000003</v>
      </c>
      <c r="S17" s="92">
        <v>34.963314285714283</v>
      </c>
      <c r="T17" s="90">
        <f>R17+S17+X17</f>
        <v>63.355314285714286</v>
      </c>
      <c r="U17" s="93">
        <f>O17-T17</f>
        <v>16.644685714285714</v>
      </c>
      <c r="V17" s="87">
        <v>5</v>
      </c>
      <c r="W17" s="87">
        <v>30</v>
      </c>
      <c r="X17" s="87">
        <v>1</v>
      </c>
      <c r="Y17" s="88">
        <v>12</v>
      </c>
      <c r="Z17" s="89" t="s">
        <v>110</v>
      </c>
      <c r="AA17" s="90">
        <v>55</v>
      </c>
      <c r="AB17" s="92">
        <v>34.963314285714283</v>
      </c>
      <c r="AC17" s="93">
        <f t="shared" si="3"/>
        <v>20.036685714285717</v>
      </c>
    </row>
    <row r="18" spans="1:29" ht="34.799999999999997" x14ac:dyDescent="0.3">
      <c r="A18" s="88"/>
      <c r="B18" s="89"/>
      <c r="C18" s="90"/>
      <c r="D18" s="86"/>
      <c r="E18" s="86"/>
      <c r="F18" s="91"/>
      <c r="G18" s="92"/>
      <c r="H18" s="90"/>
      <c r="I18" s="93"/>
      <c r="J18" s="87"/>
      <c r="K18" s="87"/>
      <c r="L18" s="87"/>
      <c r="M18" s="88"/>
      <c r="N18" s="89"/>
      <c r="O18" s="90"/>
      <c r="P18" s="86"/>
      <c r="Q18" s="86"/>
      <c r="R18" s="91"/>
      <c r="S18" s="92"/>
      <c r="T18" s="90"/>
      <c r="U18" s="93"/>
      <c r="V18" s="87"/>
      <c r="W18" s="87"/>
      <c r="X18" s="87"/>
      <c r="Y18" s="88"/>
      <c r="Z18" s="89"/>
      <c r="AA18" s="90"/>
      <c r="AB18" s="92"/>
      <c r="AC18" s="93"/>
    </row>
    <row r="19" spans="1:29" ht="34.799999999999997" x14ac:dyDescent="0.3">
      <c r="A19" s="88">
        <v>13</v>
      </c>
      <c r="B19" s="89" t="s">
        <v>31</v>
      </c>
      <c r="C19" s="90">
        <v>65</v>
      </c>
      <c r="D19" s="86">
        <f>C19*D3</f>
        <v>19.5</v>
      </c>
      <c r="E19" s="86">
        <f>D19*E3</f>
        <v>1.3650000000000002</v>
      </c>
      <c r="F19" s="91">
        <f t="shared" si="0"/>
        <v>20.865000000000002</v>
      </c>
      <c r="G19" s="92">
        <v>27.889333333333333</v>
      </c>
      <c r="H19" s="90">
        <f>F19+G19+L19</f>
        <v>49.754333333333335</v>
      </c>
      <c r="I19" s="93">
        <f t="shared" si="1"/>
        <v>14.245666666666665</v>
      </c>
      <c r="J19" s="87">
        <v>5</v>
      </c>
      <c r="K19" s="87">
        <v>30</v>
      </c>
      <c r="L19" s="87">
        <v>1</v>
      </c>
      <c r="M19" s="88">
        <v>13</v>
      </c>
      <c r="N19" s="89" t="s">
        <v>31</v>
      </c>
      <c r="O19" s="90">
        <v>69</v>
      </c>
      <c r="P19" s="86">
        <f>O19*P3</f>
        <v>22.080000000000002</v>
      </c>
      <c r="Q19" s="86">
        <f>P19*Q3</f>
        <v>1.5456000000000003</v>
      </c>
      <c r="R19" s="91">
        <f t="shared" si="2"/>
        <v>23.625600000000002</v>
      </c>
      <c r="S19" s="92">
        <v>27.889333333333333</v>
      </c>
      <c r="T19" s="90">
        <f>R19+S19+X19</f>
        <v>52.514933333333332</v>
      </c>
      <c r="U19" s="93">
        <f>O19-T19</f>
        <v>16.485066666666668</v>
      </c>
      <c r="V19" s="87">
        <v>5</v>
      </c>
      <c r="W19" s="87">
        <v>30</v>
      </c>
      <c r="X19" s="87">
        <v>1</v>
      </c>
      <c r="Y19" s="88">
        <v>13</v>
      </c>
      <c r="Z19" s="89" t="s">
        <v>31</v>
      </c>
      <c r="AA19" s="90">
        <v>50</v>
      </c>
      <c r="AB19" s="92">
        <v>27.889333333333333</v>
      </c>
      <c r="AC19" s="93">
        <f t="shared" si="3"/>
        <v>22.110666666666667</v>
      </c>
    </row>
    <row r="20" spans="1:29" ht="34.799999999999997" x14ac:dyDescent="0.3">
      <c r="A20" s="88">
        <v>14</v>
      </c>
      <c r="B20" s="96" t="s">
        <v>32</v>
      </c>
      <c r="C20" s="90">
        <v>65</v>
      </c>
      <c r="D20" s="86">
        <f>C20*D3</f>
        <v>19.5</v>
      </c>
      <c r="E20" s="86">
        <f>D20*E3</f>
        <v>1.3650000000000002</v>
      </c>
      <c r="F20" s="91">
        <f t="shared" si="0"/>
        <v>20.865000000000002</v>
      </c>
      <c r="G20" s="92">
        <v>19.989666666666665</v>
      </c>
      <c r="H20" s="90">
        <f>F20+G20+L20</f>
        <v>41.854666666666667</v>
      </c>
      <c r="I20" s="93">
        <f t="shared" si="1"/>
        <v>22.145333333333333</v>
      </c>
      <c r="J20" s="87">
        <v>5</v>
      </c>
      <c r="K20" s="87">
        <v>30</v>
      </c>
      <c r="L20" s="87">
        <v>1</v>
      </c>
      <c r="M20" s="88">
        <v>14</v>
      </c>
      <c r="N20" s="96" t="s">
        <v>32</v>
      </c>
      <c r="O20" s="90">
        <v>60</v>
      </c>
      <c r="P20" s="86">
        <f>O20*P3</f>
        <v>19.2</v>
      </c>
      <c r="Q20" s="86">
        <f>P20*Q3</f>
        <v>1.3440000000000001</v>
      </c>
      <c r="R20" s="91">
        <f t="shared" si="2"/>
        <v>20.544</v>
      </c>
      <c r="S20" s="92">
        <v>19.989666666666665</v>
      </c>
      <c r="T20" s="90">
        <f>R20+S20+X20</f>
        <v>41.533666666666662</v>
      </c>
      <c r="U20" s="93">
        <f>O20-T20</f>
        <v>18.466333333333338</v>
      </c>
      <c r="V20" s="87">
        <v>5</v>
      </c>
      <c r="W20" s="87">
        <v>30</v>
      </c>
      <c r="X20" s="87">
        <v>1</v>
      </c>
      <c r="Y20" s="88">
        <v>14</v>
      </c>
      <c r="Z20" s="96" t="s">
        <v>32</v>
      </c>
      <c r="AA20" s="90">
        <v>50</v>
      </c>
      <c r="AB20" s="92">
        <v>19.989666666666665</v>
      </c>
      <c r="AC20" s="93">
        <f t="shared" si="3"/>
        <v>30.010333333333335</v>
      </c>
    </row>
    <row r="21" spans="1:29" ht="34.799999999999997" x14ac:dyDescent="0.3">
      <c r="A21" s="88">
        <v>15</v>
      </c>
      <c r="B21" s="89" t="s">
        <v>68</v>
      </c>
      <c r="C21" s="90">
        <v>60</v>
      </c>
      <c r="D21" s="86">
        <f>C21*D3</f>
        <v>18</v>
      </c>
      <c r="E21" s="86">
        <f>D21*E3</f>
        <v>1.2600000000000002</v>
      </c>
      <c r="F21" s="91">
        <f t="shared" si="0"/>
        <v>19.260000000000002</v>
      </c>
      <c r="G21" s="92">
        <v>24.509333333333331</v>
      </c>
      <c r="H21" s="90">
        <f>F21+G21+L21</f>
        <v>44.769333333333336</v>
      </c>
      <c r="I21" s="93">
        <f t="shared" si="1"/>
        <v>14.230666666666664</v>
      </c>
      <c r="J21" s="87">
        <v>5</v>
      </c>
      <c r="K21" s="87"/>
      <c r="L21" s="87">
        <v>1</v>
      </c>
      <c r="M21" s="88">
        <v>15</v>
      </c>
      <c r="N21" s="89" t="s">
        <v>68</v>
      </c>
      <c r="O21" s="90">
        <v>60</v>
      </c>
      <c r="P21" s="86">
        <f>O21*P3</f>
        <v>19.2</v>
      </c>
      <c r="Q21" s="86">
        <f>P21*Q3</f>
        <v>1.3440000000000001</v>
      </c>
      <c r="R21" s="91">
        <f t="shared" si="2"/>
        <v>20.544</v>
      </c>
      <c r="S21" s="92">
        <v>24.509333333333331</v>
      </c>
      <c r="T21" s="90">
        <f>R21+S21+X21</f>
        <v>46.053333333333327</v>
      </c>
      <c r="U21" s="93">
        <f>O21-T21</f>
        <v>13.946666666666673</v>
      </c>
      <c r="V21" s="87">
        <v>5</v>
      </c>
      <c r="W21" s="87"/>
      <c r="X21" s="87">
        <v>1</v>
      </c>
      <c r="Y21" s="88">
        <v>15</v>
      </c>
      <c r="Z21" s="89" t="s">
        <v>68</v>
      </c>
      <c r="AA21" s="90">
        <v>45</v>
      </c>
      <c r="AB21" s="92">
        <v>24.509333333333331</v>
      </c>
      <c r="AC21" s="93">
        <f t="shared" si="3"/>
        <v>20.490666666666669</v>
      </c>
    </row>
    <row r="22" spans="1:29" ht="34.799999999999997" x14ac:dyDescent="0.3">
      <c r="A22" s="88">
        <v>16</v>
      </c>
      <c r="B22" s="89" t="s">
        <v>100</v>
      </c>
      <c r="C22" s="90">
        <v>65</v>
      </c>
      <c r="D22" s="86">
        <f>C22*D3</f>
        <v>19.5</v>
      </c>
      <c r="E22" s="86">
        <f>D22*E3</f>
        <v>1.3650000000000002</v>
      </c>
      <c r="F22" s="91">
        <f t="shared" si="0"/>
        <v>20.865000000000002</v>
      </c>
      <c r="G22" s="92">
        <v>25.60393333333333</v>
      </c>
      <c r="H22" s="90">
        <f>F22+G22+L22</f>
        <v>47.468933333333332</v>
      </c>
      <c r="I22" s="93">
        <f t="shared" si="1"/>
        <v>16.531066666666668</v>
      </c>
      <c r="J22" s="87">
        <v>5</v>
      </c>
      <c r="K22" s="87"/>
      <c r="L22" s="87">
        <v>1</v>
      </c>
      <c r="M22" s="88">
        <v>16</v>
      </c>
      <c r="N22" s="89" t="s">
        <v>100</v>
      </c>
      <c r="O22" s="90">
        <v>65</v>
      </c>
      <c r="P22" s="86">
        <f>O22*P3</f>
        <v>20.8</v>
      </c>
      <c r="Q22" s="86">
        <f>P22*Q3</f>
        <v>1.4560000000000002</v>
      </c>
      <c r="R22" s="91">
        <f t="shared" si="2"/>
        <v>22.256</v>
      </c>
      <c r="S22" s="92">
        <v>25.60393333333333</v>
      </c>
      <c r="T22" s="90">
        <f>R22+S22+X22</f>
        <v>48.859933333333331</v>
      </c>
      <c r="U22" s="93">
        <f>O22-T22</f>
        <v>16.140066666666669</v>
      </c>
      <c r="V22" s="87">
        <v>5</v>
      </c>
      <c r="W22" s="87"/>
      <c r="X22" s="87">
        <v>1</v>
      </c>
      <c r="Y22" s="88">
        <v>16</v>
      </c>
      <c r="Z22" s="89" t="s">
        <v>100</v>
      </c>
      <c r="AA22" s="90">
        <v>55</v>
      </c>
      <c r="AB22" s="92">
        <v>25.60393333333333</v>
      </c>
      <c r="AC22" s="93">
        <f t="shared" si="3"/>
        <v>29.39606666666667</v>
      </c>
    </row>
    <row r="23" spans="1:29" ht="34.799999999999997" x14ac:dyDescent="0.3">
      <c r="A23" s="88"/>
      <c r="B23" s="89"/>
      <c r="C23" s="90"/>
      <c r="D23" s="86"/>
      <c r="E23" s="86"/>
      <c r="F23" s="91"/>
      <c r="G23" s="92"/>
      <c r="H23" s="90"/>
      <c r="I23" s="93"/>
      <c r="J23" s="87"/>
      <c r="K23" s="87"/>
      <c r="L23" s="87"/>
      <c r="M23" s="88"/>
      <c r="N23" s="89"/>
      <c r="O23" s="90"/>
      <c r="P23" s="86"/>
      <c r="Q23" s="86"/>
      <c r="R23" s="91"/>
      <c r="S23" s="92"/>
      <c r="T23" s="90"/>
      <c r="U23" s="93"/>
      <c r="V23" s="87"/>
      <c r="W23" s="87"/>
      <c r="X23" s="87"/>
      <c r="Y23" s="88"/>
      <c r="Z23" s="89"/>
      <c r="AA23" s="90"/>
      <c r="AB23" s="92"/>
      <c r="AC23" s="93"/>
    </row>
    <row r="24" spans="1:29" ht="34.799999999999997" x14ac:dyDescent="0.3">
      <c r="A24" s="88">
        <v>17</v>
      </c>
      <c r="B24" s="89" t="s">
        <v>40</v>
      </c>
      <c r="C24" s="90">
        <v>85</v>
      </c>
      <c r="D24" s="86">
        <f>C24*D3</f>
        <v>25.5</v>
      </c>
      <c r="E24" s="86">
        <f>D24*E3</f>
        <v>1.7850000000000001</v>
      </c>
      <c r="F24" s="91">
        <f t="shared" si="0"/>
        <v>27.285</v>
      </c>
      <c r="G24" s="92">
        <v>35.733533333333334</v>
      </c>
      <c r="H24" s="90">
        <f>F24+G24+L24</f>
        <v>64.018533333333338</v>
      </c>
      <c r="I24" s="93">
        <f t="shared" si="1"/>
        <v>19.981466666666662</v>
      </c>
      <c r="J24" s="87">
        <v>5</v>
      </c>
      <c r="K24" s="87"/>
      <c r="L24" s="87">
        <v>1</v>
      </c>
      <c r="M24" s="88">
        <v>17</v>
      </c>
      <c r="N24" s="89" t="s">
        <v>40</v>
      </c>
      <c r="O24" s="90">
        <v>85</v>
      </c>
      <c r="P24" s="86">
        <f>O24*P3</f>
        <v>27.2</v>
      </c>
      <c r="Q24" s="86">
        <f>P24*Q3</f>
        <v>1.9040000000000001</v>
      </c>
      <c r="R24" s="91">
        <f t="shared" si="2"/>
        <v>29.103999999999999</v>
      </c>
      <c r="S24" s="92">
        <v>35.733533333333334</v>
      </c>
      <c r="T24" s="90">
        <f>R24+S24+X24</f>
        <v>65.83753333333334</v>
      </c>
      <c r="U24" s="93">
        <f>O24-T24</f>
        <v>19.16246666666666</v>
      </c>
      <c r="V24" s="87">
        <v>5</v>
      </c>
      <c r="W24" s="87"/>
      <c r="X24" s="87">
        <v>1</v>
      </c>
      <c r="Y24" s="88">
        <v>17</v>
      </c>
      <c r="Z24" s="89" t="s">
        <v>40</v>
      </c>
      <c r="AA24" s="90">
        <v>60</v>
      </c>
      <c r="AB24" s="92">
        <v>35.733533333333334</v>
      </c>
      <c r="AC24" s="93">
        <f t="shared" si="3"/>
        <v>24.266466666666666</v>
      </c>
    </row>
    <row r="25" spans="1:29" ht="34.799999999999997" x14ac:dyDescent="0.3">
      <c r="A25" s="88">
        <v>18</v>
      </c>
      <c r="B25" s="89" t="s">
        <v>17</v>
      </c>
      <c r="C25" s="90">
        <v>60</v>
      </c>
      <c r="D25" s="86">
        <f>C25*D3</f>
        <v>18</v>
      </c>
      <c r="E25" s="86">
        <f>D25*E3</f>
        <v>1.2600000000000002</v>
      </c>
      <c r="F25" s="91">
        <f t="shared" si="0"/>
        <v>19.260000000000002</v>
      </c>
      <c r="G25" s="92">
        <v>16.003</v>
      </c>
      <c r="H25" s="90">
        <f>F25+G25+L25</f>
        <v>36.263000000000005</v>
      </c>
      <c r="I25" s="93">
        <f t="shared" si="1"/>
        <v>22.736999999999995</v>
      </c>
      <c r="J25" s="87">
        <v>5</v>
      </c>
      <c r="K25" s="87"/>
      <c r="L25" s="87">
        <v>1</v>
      </c>
      <c r="M25" s="88">
        <v>18</v>
      </c>
      <c r="N25" s="89" t="s">
        <v>17</v>
      </c>
      <c r="O25" s="90">
        <v>51</v>
      </c>
      <c r="P25" s="86">
        <f>O25*P3</f>
        <v>16.32</v>
      </c>
      <c r="Q25" s="86">
        <f>P25*Q3</f>
        <v>1.1424000000000001</v>
      </c>
      <c r="R25" s="91">
        <f t="shared" si="2"/>
        <v>17.462399999999999</v>
      </c>
      <c r="S25" s="92">
        <v>16.003</v>
      </c>
      <c r="T25" s="90">
        <f>R25+S25+X25</f>
        <v>34.465400000000002</v>
      </c>
      <c r="U25" s="93">
        <f>O25-T25</f>
        <v>16.534599999999998</v>
      </c>
      <c r="V25" s="87">
        <v>5</v>
      </c>
      <c r="W25" s="87"/>
      <c r="X25" s="87">
        <v>1</v>
      </c>
      <c r="Y25" s="88">
        <v>18</v>
      </c>
      <c r="Z25" s="89" t="s">
        <v>17</v>
      </c>
      <c r="AA25" s="90">
        <v>40</v>
      </c>
      <c r="AB25" s="92">
        <v>16.003</v>
      </c>
      <c r="AC25" s="93">
        <f t="shared" si="3"/>
        <v>23.997</v>
      </c>
    </row>
    <row r="26" spans="1:29" ht="34.799999999999997" x14ac:dyDescent="0.3">
      <c r="A26" s="88">
        <v>19</v>
      </c>
      <c r="B26" s="89" t="s">
        <v>123</v>
      </c>
      <c r="C26" s="90">
        <v>65</v>
      </c>
      <c r="D26" s="86">
        <f>C26*D3</f>
        <v>19.5</v>
      </c>
      <c r="E26" s="86">
        <f>D26*E3</f>
        <v>1.3650000000000002</v>
      </c>
      <c r="F26" s="91">
        <f t="shared" si="0"/>
        <v>20.865000000000002</v>
      </c>
      <c r="G26" s="92">
        <v>29.721714285714288</v>
      </c>
      <c r="H26" s="90">
        <f>F26+G26+L26</f>
        <v>51.586714285714294</v>
      </c>
      <c r="I26" s="93">
        <f t="shared" si="1"/>
        <v>12.413285714285706</v>
      </c>
      <c r="J26" s="87">
        <v>5</v>
      </c>
      <c r="K26" s="87"/>
      <c r="L26" s="87">
        <v>1</v>
      </c>
      <c r="M26" s="88">
        <v>19</v>
      </c>
      <c r="N26" s="89" t="s">
        <v>123</v>
      </c>
      <c r="O26" s="90">
        <v>70</v>
      </c>
      <c r="P26" s="86">
        <f>O26*P3</f>
        <v>22.400000000000002</v>
      </c>
      <c r="Q26" s="86">
        <f>P26*Q3</f>
        <v>1.5680000000000003</v>
      </c>
      <c r="R26" s="91">
        <f t="shared" si="2"/>
        <v>23.968000000000004</v>
      </c>
      <c r="S26" s="92">
        <v>29.721714285714288</v>
      </c>
      <c r="T26" s="90">
        <f>R26+S26+X26</f>
        <v>54.689714285714288</v>
      </c>
      <c r="U26" s="93">
        <f>O26-T26</f>
        <v>15.310285714285712</v>
      </c>
      <c r="V26" s="87">
        <v>5</v>
      </c>
      <c r="W26" s="87"/>
      <c r="X26" s="87">
        <v>1</v>
      </c>
      <c r="Y26" s="88">
        <v>19</v>
      </c>
      <c r="Z26" s="89" t="s">
        <v>123</v>
      </c>
      <c r="AA26" s="90">
        <v>45</v>
      </c>
      <c r="AB26" s="92">
        <v>29.721714285714288</v>
      </c>
      <c r="AC26" s="93">
        <f t="shared" si="3"/>
        <v>15.278285714285712</v>
      </c>
    </row>
    <row r="27" spans="1:29" ht="34.799999999999997" x14ac:dyDescent="0.3">
      <c r="A27" s="88">
        <v>20</v>
      </c>
      <c r="B27" s="89" t="s">
        <v>124</v>
      </c>
      <c r="C27" s="90">
        <v>65</v>
      </c>
      <c r="D27" s="86">
        <f>C27*D3</f>
        <v>19.5</v>
      </c>
      <c r="E27" s="86">
        <f>D27*E3</f>
        <v>1.3650000000000002</v>
      </c>
      <c r="F27" s="91">
        <f t="shared" si="0"/>
        <v>20.865000000000002</v>
      </c>
      <c r="G27" s="92">
        <v>29.721714285714288</v>
      </c>
      <c r="H27" s="90">
        <f>F27+G27+L27</f>
        <v>51.586714285714294</v>
      </c>
      <c r="I27" s="93">
        <f t="shared" si="1"/>
        <v>12.413285714285706</v>
      </c>
      <c r="J27" s="87">
        <v>5</v>
      </c>
      <c r="K27" s="87"/>
      <c r="L27" s="87">
        <v>1</v>
      </c>
      <c r="M27" s="88">
        <v>20</v>
      </c>
      <c r="N27" s="89" t="s">
        <v>124</v>
      </c>
      <c r="O27" s="90">
        <v>70</v>
      </c>
      <c r="P27" s="86">
        <f>O27*P3</f>
        <v>22.400000000000002</v>
      </c>
      <c r="Q27" s="86">
        <f>P27*Q3</f>
        <v>1.5680000000000003</v>
      </c>
      <c r="R27" s="91">
        <f t="shared" si="2"/>
        <v>23.968000000000004</v>
      </c>
      <c r="S27" s="92">
        <v>29.721714285714288</v>
      </c>
      <c r="T27" s="90">
        <f>R27+S27+X27</f>
        <v>54.689714285714288</v>
      </c>
      <c r="U27" s="93">
        <f>O27-T27</f>
        <v>15.310285714285712</v>
      </c>
      <c r="V27" s="87">
        <v>5</v>
      </c>
      <c r="W27" s="87"/>
      <c r="X27" s="87">
        <v>1</v>
      </c>
      <c r="Y27" s="88">
        <v>20</v>
      </c>
      <c r="Z27" s="89" t="s">
        <v>124</v>
      </c>
      <c r="AA27" s="90">
        <v>45</v>
      </c>
      <c r="AB27" s="92">
        <v>29.721714285714288</v>
      </c>
      <c r="AC27" s="93">
        <f t="shared" si="3"/>
        <v>15.278285714285712</v>
      </c>
    </row>
    <row r="28" spans="1:29" ht="34.799999999999997" x14ac:dyDescent="0.3">
      <c r="A28" s="88"/>
      <c r="B28" s="89"/>
      <c r="C28" s="90"/>
      <c r="D28" s="86"/>
      <c r="E28" s="86"/>
      <c r="F28" s="91"/>
      <c r="G28" s="92"/>
      <c r="H28" s="90"/>
      <c r="I28" s="93"/>
      <c r="J28" s="87"/>
      <c r="K28" s="87"/>
      <c r="L28" s="87"/>
      <c r="M28" s="88"/>
      <c r="N28" s="89"/>
      <c r="O28" s="90"/>
      <c r="P28" s="86"/>
      <c r="Q28" s="86"/>
      <c r="R28" s="91"/>
      <c r="S28" s="92"/>
      <c r="T28" s="90"/>
      <c r="U28" s="93"/>
      <c r="V28" s="87"/>
      <c r="W28" s="87"/>
      <c r="X28" s="87"/>
      <c r="Y28" s="88"/>
      <c r="Z28" s="89"/>
      <c r="AA28" s="90"/>
      <c r="AB28" s="92"/>
      <c r="AC28" s="93"/>
    </row>
    <row r="29" spans="1:29" ht="34.799999999999997" x14ac:dyDescent="0.3">
      <c r="A29" s="88">
        <v>21</v>
      </c>
      <c r="B29" s="89" t="s">
        <v>121</v>
      </c>
      <c r="C29" s="90">
        <v>55</v>
      </c>
      <c r="D29" s="86">
        <f>C29*D3</f>
        <v>16.5</v>
      </c>
      <c r="E29" s="86">
        <f>D29*E3</f>
        <v>1.155</v>
      </c>
      <c r="F29" s="91">
        <f t="shared" si="0"/>
        <v>17.655000000000001</v>
      </c>
      <c r="G29" s="92">
        <v>14.39</v>
      </c>
      <c r="H29" s="90">
        <f>F29+G29+L29</f>
        <v>33.045000000000002</v>
      </c>
      <c r="I29" s="93">
        <f t="shared" si="1"/>
        <v>20.954999999999998</v>
      </c>
      <c r="J29" s="87"/>
      <c r="K29" s="87"/>
      <c r="L29" s="87">
        <v>1</v>
      </c>
      <c r="M29" s="88">
        <v>21</v>
      </c>
      <c r="N29" s="89" t="s">
        <v>121</v>
      </c>
      <c r="O29" s="90">
        <v>55</v>
      </c>
      <c r="P29" s="86">
        <f>O29*P3</f>
        <v>17.600000000000001</v>
      </c>
      <c r="Q29" s="86">
        <f>P29*Q3</f>
        <v>1.2320000000000002</v>
      </c>
      <c r="R29" s="91">
        <f t="shared" si="2"/>
        <v>18.832000000000001</v>
      </c>
      <c r="S29" s="92">
        <v>14.39</v>
      </c>
      <c r="T29" s="90">
        <f>R29+S29+X29</f>
        <v>34.222000000000001</v>
      </c>
      <c r="U29" s="93">
        <f>O29-T29</f>
        <v>20.777999999999999</v>
      </c>
      <c r="V29" s="87">
        <v>5</v>
      </c>
      <c r="W29" s="87"/>
      <c r="X29" s="87">
        <v>1</v>
      </c>
      <c r="Y29" s="88">
        <v>21</v>
      </c>
      <c r="Z29" s="89" t="s">
        <v>121</v>
      </c>
      <c r="AA29" s="90">
        <v>40</v>
      </c>
      <c r="AB29" s="92">
        <v>14.39</v>
      </c>
      <c r="AC29" s="93">
        <f t="shared" si="3"/>
        <v>25.61</v>
      </c>
    </row>
    <row r="30" spans="1:29" ht="34.799999999999997" x14ac:dyDescent="0.85">
      <c r="A30" s="88">
        <v>22</v>
      </c>
      <c r="B30" s="89" t="s">
        <v>193</v>
      </c>
      <c r="C30" s="90">
        <v>65</v>
      </c>
      <c r="D30" s="86">
        <f>C30*D3</f>
        <v>19.5</v>
      </c>
      <c r="E30" s="86">
        <f>D30*E3</f>
        <v>1.3650000000000002</v>
      </c>
      <c r="F30" s="91">
        <f t="shared" si="0"/>
        <v>20.865000000000002</v>
      </c>
      <c r="G30" s="92">
        <v>16.96</v>
      </c>
      <c r="H30" s="90">
        <f>F30+G30+L30</f>
        <v>38.825000000000003</v>
      </c>
      <c r="I30" s="93">
        <f t="shared" si="1"/>
        <v>25.174999999999997</v>
      </c>
      <c r="J30" s="87"/>
      <c r="K30" s="87"/>
      <c r="L30" s="87">
        <v>1</v>
      </c>
      <c r="M30" s="101">
        <v>22</v>
      </c>
      <c r="N30" s="89" t="s">
        <v>193</v>
      </c>
      <c r="O30" s="90">
        <v>55</v>
      </c>
      <c r="P30" s="86">
        <f>O30*P3</f>
        <v>17.600000000000001</v>
      </c>
      <c r="Q30" s="86">
        <f>Q3*P30</f>
        <v>1.2320000000000002</v>
      </c>
      <c r="R30" s="91">
        <f t="shared" si="2"/>
        <v>18.832000000000001</v>
      </c>
      <c r="S30" s="92">
        <v>16.96</v>
      </c>
      <c r="T30" s="90">
        <f t="shared" ref="T30:T34" si="4">R30+S30+X30</f>
        <v>36.792000000000002</v>
      </c>
      <c r="U30" s="93">
        <f>O30-T30</f>
        <v>18.207999999999998</v>
      </c>
      <c r="V30" s="87">
        <v>5</v>
      </c>
      <c r="W30" s="87"/>
      <c r="X30" s="87">
        <v>1</v>
      </c>
      <c r="Y30" s="88">
        <v>22</v>
      </c>
      <c r="Z30" s="89" t="s">
        <v>193</v>
      </c>
      <c r="AA30" s="90">
        <v>55</v>
      </c>
      <c r="AB30" s="92">
        <v>16.96</v>
      </c>
      <c r="AC30" s="93">
        <f t="shared" si="3"/>
        <v>38.04</v>
      </c>
    </row>
    <row r="31" spans="1:29" ht="34.799999999999997" x14ac:dyDescent="0.85">
      <c r="A31" s="88"/>
      <c r="B31" s="89"/>
      <c r="C31" s="90"/>
      <c r="D31" s="86"/>
      <c r="E31" s="86"/>
      <c r="F31" s="91"/>
      <c r="G31" s="92"/>
      <c r="H31" s="90"/>
      <c r="I31" s="93"/>
      <c r="J31" s="87"/>
      <c r="K31" s="87"/>
      <c r="L31" s="87"/>
      <c r="M31" s="101"/>
      <c r="N31" s="89"/>
      <c r="O31" s="90"/>
      <c r="P31" s="86"/>
      <c r="Q31" s="86"/>
      <c r="R31" s="91"/>
      <c r="S31" s="92"/>
      <c r="T31" s="90"/>
      <c r="U31" s="93"/>
      <c r="V31" s="87"/>
      <c r="W31" s="87"/>
      <c r="X31" s="87"/>
      <c r="Y31" s="88"/>
      <c r="Z31" s="89"/>
      <c r="AA31" s="90"/>
      <c r="AB31" s="92"/>
      <c r="AC31" s="93"/>
    </row>
    <row r="32" spans="1:29" ht="34.799999999999997" x14ac:dyDescent="0.85">
      <c r="A32" s="88">
        <v>23</v>
      </c>
      <c r="B32" s="89" t="s">
        <v>187</v>
      </c>
      <c r="C32" s="90">
        <v>60</v>
      </c>
      <c r="D32" s="86">
        <f>C32*D3</f>
        <v>18</v>
      </c>
      <c r="E32" s="86">
        <f>D32*E3</f>
        <v>1.2600000000000002</v>
      </c>
      <c r="F32" s="91">
        <f t="shared" ref="F32:F34" si="5">D32+E32</f>
        <v>19.260000000000002</v>
      </c>
      <c r="G32" s="92">
        <v>10.27</v>
      </c>
      <c r="H32" s="90">
        <f t="shared" ref="H32:H34" si="6">F32+G32+L32</f>
        <v>30.53</v>
      </c>
      <c r="I32" s="93">
        <f t="shared" ref="I32:I34" si="7">C32-H32-L32</f>
        <v>28.47</v>
      </c>
      <c r="J32" s="87"/>
      <c r="K32" s="87"/>
      <c r="L32" s="87">
        <v>1</v>
      </c>
      <c r="M32" s="101">
        <v>23</v>
      </c>
      <c r="N32" s="89" t="s">
        <v>187</v>
      </c>
      <c r="O32" s="90">
        <v>65</v>
      </c>
      <c r="P32" s="86">
        <f>O32*P3</f>
        <v>20.8</v>
      </c>
      <c r="Q32" s="86">
        <f>Q3*P32</f>
        <v>1.4560000000000002</v>
      </c>
      <c r="R32" s="91">
        <f t="shared" si="2"/>
        <v>22.256</v>
      </c>
      <c r="S32" s="92">
        <v>10.27</v>
      </c>
      <c r="T32" s="90">
        <f t="shared" si="4"/>
        <v>33.525999999999996</v>
      </c>
      <c r="U32" s="93">
        <f>O32-T32</f>
        <v>31.474000000000004</v>
      </c>
      <c r="V32" s="87">
        <v>5</v>
      </c>
      <c r="W32" s="87"/>
      <c r="X32" s="87">
        <v>1</v>
      </c>
      <c r="Y32" s="88">
        <v>23</v>
      </c>
      <c r="Z32" s="89" t="s">
        <v>187</v>
      </c>
      <c r="AA32" s="90">
        <v>50</v>
      </c>
      <c r="AB32" s="92">
        <v>10.27</v>
      </c>
      <c r="AC32" s="93">
        <f t="shared" si="3"/>
        <v>39.730000000000004</v>
      </c>
    </row>
    <row r="33" spans="1:29" ht="34.799999999999997" x14ac:dyDescent="0.85">
      <c r="A33" s="88">
        <v>24</v>
      </c>
      <c r="B33" s="89" t="s">
        <v>194</v>
      </c>
      <c r="C33" s="90">
        <v>70</v>
      </c>
      <c r="D33" s="86">
        <f>C33*D3</f>
        <v>21</v>
      </c>
      <c r="E33" s="86">
        <f>C33*E3</f>
        <v>4.9000000000000004</v>
      </c>
      <c r="F33" s="91">
        <f t="shared" si="5"/>
        <v>25.9</v>
      </c>
      <c r="G33" s="92">
        <v>19.690000000000001</v>
      </c>
      <c r="H33" s="90">
        <f t="shared" si="6"/>
        <v>46.59</v>
      </c>
      <c r="I33" s="93">
        <f t="shared" si="7"/>
        <v>22.409999999999997</v>
      </c>
      <c r="J33" s="87"/>
      <c r="K33" s="87"/>
      <c r="L33" s="87">
        <v>1</v>
      </c>
      <c r="M33" s="101">
        <v>24</v>
      </c>
      <c r="N33" s="89" t="s">
        <v>194</v>
      </c>
      <c r="O33" s="90">
        <v>75</v>
      </c>
      <c r="P33" s="86">
        <f>O33*P3</f>
        <v>24</v>
      </c>
      <c r="Q33" s="86">
        <f>Q3*P33</f>
        <v>1.6800000000000002</v>
      </c>
      <c r="R33" s="91">
        <f t="shared" si="2"/>
        <v>25.68</v>
      </c>
      <c r="S33" s="92">
        <v>19.690000000000001</v>
      </c>
      <c r="T33" s="90">
        <f t="shared" si="4"/>
        <v>46.370000000000005</v>
      </c>
      <c r="U33" s="93">
        <f>O33-T33</f>
        <v>28.629999999999995</v>
      </c>
      <c r="V33" s="87">
        <v>5</v>
      </c>
      <c r="W33" s="87"/>
      <c r="X33" s="87">
        <v>1</v>
      </c>
      <c r="Y33" s="88">
        <v>24</v>
      </c>
      <c r="Z33" s="89" t="s">
        <v>194</v>
      </c>
      <c r="AA33" s="90">
        <v>70</v>
      </c>
      <c r="AB33" s="92">
        <v>32.24</v>
      </c>
      <c r="AC33" s="93">
        <f t="shared" si="3"/>
        <v>37.76</v>
      </c>
    </row>
    <row r="34" spans="1:29" ht="34.799999999999997" x14ac:dyDescent="0.85">
      <c r="A34" s="88">
        <v>22</v>
      </c>
      <c r="B34" s="89" t="s">
        <v>195</v>
      </c>
      <c r="C34" s="90">
        <v>60</v>
      </c>
      <c r="D34" s="86">
        <f>C34*D3</f>
        <v>18</v>
      </c>
      <c r="E34" s="86">
        <f>D34*E3</f>
        <v>1.2600000000000002</v>
      </c>
      <c r="F34" s="91">
        <f t="shared" si="5"/>
        <v>19.260000000000002</v>
      </c>
      <c r="G34" s="92">
        <v>17.75</v>
      </c>
      <c r="H34" s="90">
        <f t="shared" si="6"/>
        <v>38.010000000000005</v>
      </c>
      <c r="I34" s="93">
        <f t="shared" si="7"/>
        <v>20.989999999999995</v>
      </c>
      <c r="J34" s="87"/>
      <c r="K34" s="87"/>
      <c r="L34" s="87">
        <v>1</v>
      </c>
      <c r="M34" s="101">
        <v>25</v>
      </c>
      <c r="N34" s="89" t="s">
        <v>196</v>
      </c>
      <c r="O34" s="90">
        <v>98</v>
      </c>
      <c r="P34" s="86">
        <f>O34*P3</f>
        <v>31.36</v>
      </c>
      <c r="Q34" s="86">
        <f>Q3*P34</f>
        <v>2.1952000000000003</v>
      </c>
      <c r="R34" s="91">
        <f t="shared" si="2"/>
        <v>33.555199999999999</v>
      </c>
      <c r="S34" s="92">
        <v>34.321238095238101</v>
      </c>
      <c r="T34" s="90">
        <f t="shared" si="4"/>
        <v>68.8764380952381</v>
      </c>
      <c r="U34" s="93">
        <f>O34-T34</f>
        <v>29.1235619047619</v>
      </c>
      <c r="V34" s="87">
        <v>5</v>
      </c>
      <c r="W34" s="87"/>
      <c r="X34" s="87">
        <v>1</v>
      </c>
      <c r="Y34" s="88">
        <v>22</v>
      </c>
      <c r="Z34" s="89" t="s">
        <v>195</v>
      </c>
      <c r="AA34" s="90">
        <v>40</v>
      </c>
      <c r="AB34" s="92">
        <v>17.75</v>
      </c>
      <c r="AC34" s="93">
        <f t="shared" si="3"/>
        <v>22.25</v>
      </c>
    </row>
  </sheetData>
  <mergeCells count="25">
    <mergeCell ref="Y1:AC1"/>
    <mergeCell ref="Y2:Z3"/>
    <mergeCell ref="AA2:AA3"/>
    <mergeCell ref="AB2:AB3"/>
    <mergeCell ref="AC2:AC3"/>
    <mergeCell ref="M1:X1"/>
    <mergeCell ref="M2:N3"/>
    <mergeCell ref="O2:O3"/>
    <mergeCell ref="R2:R3"/>
    <mergeCell ref="S2:S3"/>
    <mergeCell ref="T2:T3"/>
    <mergeCell ref="U2:U3"/>
    <mergeCell ref="V2:V3"/>
    <mergeCell ref="W2:W3"/>
    <mergeCell ref="X2:X3"/>
    <mergeCell ref="A1:L1"/>
    <mergeCell ref="A2:B3"/>
    <mergeCell ref="C2:C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  <pageSetup paperSize="9" scale="3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2F4D-D88E-43F8-9F2E-E7879CA9A9E5}">
  <dimension ref="A3:G56"/>
  <sheetViews>
    <sheetView topLeftCell="A19" workbookViewId="0">
      <selection activeCell="B24" sqref="B24:D24"/>
    </sheetView>
  </sheetViews>
  <sheetFormatPr defaultRowHeight="14.4" x14ac:dyDescent="0.3"/>
  <cols>
    <col min="1" max="1" width="6.77734375" style="39" bestFit="1" customWidth="1"/>
    <col min="2" max="2" width="24.44140625" style="39" bestFit="1" customWidth="1"/>
    <col min="3" max="3" width="6.5546875" style="39" bestFit="1" customWidth="1"/>
    <col min="4" max="4" width="21.109375" style="39" bestFit="1" customWidth="1"/>
    <col min="5" max="5" width="13.21875" style="39" bestFit="1" customWidth="1"/>
    <col min="6" max="6" width="20.88671875" style="39" bestFit="1" customWidth="1"/>
    <col min="7" max="7" width="11.21875" style="39" bestFit="1" customWidth="1"/>
    <col min="8" max="16384" width="8.88671875" style="39"/>
  </cols>
  <sheetData>
    <row r="3" spans="1:7" ht="15" thickBot="1" x14ac:dyDescent="0.35"/>
    <row r="4" spans="1:7" x14ac:dyDescent="0.3">
      <c r="A4" s="181" t="s">
        <v>10</v>
      </c>
      <c r="B4" s="182"/>
      <c r="C4" s="182"/>
      <c r="D4" s="182"/>
      <c r="E4" s="182"/>
      <c r="F4" s="182"/>
      <c r="G4" s="183"/>
    </row>
    <row r="5" spans="1:7" ht="15" thickBot="1" x14ac:dyDescent="0.35">
      <c r="A5" s="184"/>
      <c r="B5" s="185"/>
      <c r="C5" s="185"/>
      <c r="D5" s="185"/>
      <c r="E5" s="185"/>
      <c r="F5" s="185"/>
      <c r="G5" s="186"/>
    </row>
    <row r="6" spans="1:7" x14ac:dyDescent="0.3">
      <c r="A6" s="200" t="s">
        <v>9</v>
      </c>
      <c r="B6" s="202" t="s">
        <v>136</v>
      </c>
      <c r="C6" s="202" t="s">
        <v>11</v>
      </c>
      <c r="D6" s="190" t="s">
        <v>137</v>
      </c>
      <c r="E6" s="192" t="s">
        <v>13</v>
      </c>
      <c r="F6" s="194" t="s">
        <v>14</v>
      </c>
      <c r="G6" s="196" t="s">
        <v>15</v>
      </c>
    </row>
    <row r="7" spans="1:7" x14ac:dyDescent="0.3">
      <c r="A7" s="201"/>
      <c r="B7" s="203"/>
      <c r="C7" s="203"/>
      <c r="D7" s="191"/>
      <c r="E7" s="193"/>
      <c r="F7" s="195"/>
      <c r="G7" s="197"/>
    </row>
    <row r="8" spans="1:7" x14ac:dyDescent="0.3">
      <c r="A8" s="49">
        <v>1</v>
      </c>
      <c r="B8" s="48" t="s">
        <v>138</v>
      </c>
      <c r="C8" s="58">
        <v>60</v>
      </c>
      <c r="D8" s="52">
        <v>50</v>
      </c>
      <c r="E8" s="53">
        <f>C8/D8</f>
        <v>1.2</v>
      </c>
      <c r="F8" s="54">
        <v>1</v>
      </c>
      <c r="G8" s="55">
        <f>F8*E8</f>
        <v>1.2</v>
      </c>
    </row>
    <row r="9" spans="1:7" x14ac:dyDescent="0.3">
      <c r="A9" s="49">
        <v>2</v>
      </c>
      <c r="B9" s="48" t="s">
        <v>140</v>
      </c>
      <c r="C9" s="58">
        <v>65</v>
      </c>
      <c r="D9" s="52">
        <v>50</v>
      </c>
      <c r="E9" s="53">
        <f t="shared" ref="E9:E14" si="0">C9/D9</f>
        <v>1.3</v>
      </c>
      <c r="F9" s="54">
        <v>1</v>
      </c>
      <c r="G9" s="55">
        <f t="shared" ref="G9:G14" si="1">F9*E9</f>
        <v>1.3</v>
      </c>
    </row>
    <row r="10" spans="1:7" x14ac:dyDescent="0.3">
      <c r="A10" s="49">
        <v>3</v>
      </c>
      <c r="B10" s="48" t="s">
        <v>139</v>
      </c>
      <c r="C10" s="58">
        <v>28</v>
      </c>
      <c r="D10" s="52">
        <v>50</v>
      </c>
      <c r="E10" s="53">
        <f t="shared" si="0"/>
        <v>0.56000000000000005</v>
      </c>
      <c r="F10" s="54">
        <v>1</v>
      </c>
      <c r="G10" s="55">
        <f t="shared" si="1"/>
        <v>0.56000000000000005</v>
      </c>
    </row>
    <row r="11" spans="1:7" x14ac:dyDescent="0.3">
      <c r="A11" s="49">
        <v>4</v>
      </c>
      <c r="B11" s="48" t="s">
        <v>29</v>
      </c>
      <c r="C11" s="58">
        <v>17</v>
      </c>
      <c r="D11" s="52">
        <v>100</v>
      </c>
      <c r="E11" s="53">
        <f t="shared" si="0"/>
        <v>0.17</v>
      </c>
      <c r="F11" s="54">
        <v>1</v>
      </c>
      <c r="G11" s="55">
        <f t="shared" si="1"/>
        <v>0.17</v>
      </c>
    </row>
    <row r="12" spans="1:7" x14ac:dyDescent="0.3">
      <c r="A12" s="49">
        <v>5</v>
      </c>
      <c r="B12" s="48" t="s">
        <v>141</v>
      </c>
      <c r="C12" s="58">
        <v>70</v>
      </c>
      <c r="D12" s="52">
        <v>100</v>
      </c>
      <c r="E12" s="53">
        <f t="shared" si="0"/>
        <v>0.7</v>
      </c>
      <c r="F12" s="54">
        <v>1</v>
      </c>
      <c r="G12" s="55">
        <f t="shared" si="1"/>
        <v>0.7</v>
      </c>
    </row>
    <row r="13" spans="1:7" x14ac:dyDescent="0.3">
      <c r="A13" s="49">
        <v>6</v>
      </c>
      <c r="B13" s="48" t="s">
        <v>143</v>
      </c>
      <c r="C13" s="58">
        <v>50</v>
      </c>
      <c r="D13" s="52">
        <v>500</v>
      </c>
      <c r="E13" s="53">
        <f t="shared" si="0"/>
        <v>0.1</v>
      </c>
      <c r="F13" s="54">
        <v>1</v>
      </c>
      <c r="G13" s="55">
        <f t="shared" si="1"/>
        <v>0.1</v>
      </c>
    </row>
    <row r="14" spans="1:7" ht="15" thickBot="1" x14ac:dyDescent="0.35">
      <c r="A14" s="50">
        <v>7</v>
      </c>
      <c r="B14" s="51" t="s">
        <v>142</v>
      </c>
      <c r="C14" s="59">
        <v>17</v>
      </c>
      <c r="D14" s="56">
        <v>100</v>
      </c>
      <c r="E14" s="57">
        <f t="shared" si="0"/>
        <v>0.17</v>
      </c>
      <c r="F14" s="54">
        <v>1</v>
      </c>
      <c r="G14" s="55">
        <f t="shared" si="1"/>
        <v>0.17</v>
      </c>
    </row>
    <row r="16" spans="1:7" ht="15" thickBot="1" x14ac:dyDescent="0.35"/>
    <row r="17" spans="1:7" x14ac:dyDescent="0.3">
      <c r="A17" s="181" t="s">
        <v>10</v>
      </c>
      <c r="B17" s="182"/>
      <c r="C17" s="182"/>
      <c r="D17" s="182"/>
      <c r="E17" s="182"/>
      <c r="F17" s="182"/>
      <c r="G17" s="183"/>
    </row>
    <row r="18" spans="1:7" ht="15" thickBot="1" x14ac:dyDescent="0.35">
      <c r="A18" s="187"/>
      <c r="B18" s="188"/>
      <c r="C18" s="188"/>
      <c r="D18" s="188"/>
      <c r="E18" s="188"/>
      <c r="F18" s="188"/>
      <c r="G18" s="189"/>
    </row>
    <row r="19" spans="1:7" x14ac:dyDescent="0.3">
      <c r="A19" s="200" t="s">
        <v>9</v>
      </c>
      <c r="B19" s="202" t="s">
        <v>136</v>
      </c>
      <c r="C19" s="202" t="s">
        <v>11</v>
      </c>
      <c r="D19" s="190" t="s">
        <v>137</v>
      </c>
      <c r="E19" s="192" t="s">
        <v>13</v>
      </c>
      <c r="F19" s="198" t="s">
        <v>14</v>
      </c>
      <c r="G19" s="196" t="s">
        <v>15</v>
      </c>
    </row>
    <row r="20" spans="1:7" x14ac:dyDescent="0.3">
      <c r="A20" s="201"/>
      <c r="B20" s="203"/>
      <c r="C20" s="203"/>
      <c r="D20" s="191"/>
      <c r="E20" s="193"/>
      <c r="F20" s="199"/>
      <c r="G20" s="197"/>
    </row>
    <row r="21" spans="1:7" x14ac:dyDescent="0.3">
      <c r="A21" s="49">
        <v>1</v>
      </c>
      <c r="B21" s="48" t="s">
        <v>61</v>
      </c>
      <c r="C21" s="58">
        <v>98</v>
      </c>
      <c r="D21" s="52">
        <v>2000</v>
      </c>
      <c r="E21" s="53">
        <f>C21/D21</f>
        <v>4.9000000000000002E-2</v>
      </c>
      <c r="F21" s="60">
        <v>60</v>
      </c>
      <c r="G21" s="55">
        <f>F21*E21</f>
        <v>2.94</v>
      </c>
    </row>
    <row r="22" spans="1:7" x14ac:dyDescent="0.3">
      <c r="A22" s="49">
        <v>2</v>
      </c>
      <c r="B22" s="48" t="s">
        <v>144</v>
      </c>
      <c r="C22" s="58">
        <v>53</v>
      </c>
      <c r="D22" s="52">
        <v>1000</v>
      </c>
      <c r="E22" s="53">
        <f t="shared" ref="E22:E28" si="2">C22/D22</f>
        <v>5.2999999999999999E-2</v>
      </c>
      <c r="F22" s="60">
        <v>40</v>
      </c>
      <c r="G22" s="55">
        <f t="shared" ref="G22:G28" si="3">F22*E22</f>
        <v>2.12</v>
      </c>
    </row>
    <row r="23" spans="1:7" x14ac:dyDescent="0.3">
      <c r="A23" s="49">
        <v>3</v>
      </c>
      <c r="B23" s="48" t="s">
        <v>145</v>
      </c>
      <c r="C23" s="58">
        <v>118</v>
      </c>
      <c r="D23" s="52">
        <v>2000</v>
      </c>
      <c r="E23" s="53">
        <f t="shared" si="2"/>
        <v>5.8999999999999997E-2</v>
      </c>
      <c r="F23" s="60">
        <v>30</v>
      </c>
      <c r="G23" s="55">
        <f t="shared" si="3"/>
        <v>1.77</v>
      </c>
    </row>
    <row r="24" spans="1:7" x14ac:dyDescent="0.3">
      <c r="A24" s="49">
        <v>4</v>
      </c>
      <c r="B24" s="48" t="s">
        <v>150</v>
      </c>
      <c r="C24" s="58">
        <v>45</v>
      </c>
      <c r="D24" s="52">
        <v>800</v>
      </c>
      <c r="E24" s="53">
        <f t="shared" si="2"/>
        <v>5.6250000000000001E-2</v>
      </c>
      <c r="F24" s="60">
        <v>30</v>
      </c>
      <c r="G24" s="55">
        <f t="shared" si="3"/>
        <v>1.6875</v>
      </c>
    </row>
    <row r="25" spans="1:7" x14ac:dyDescent="0.3">
      <c r="A25" s="49">
        <v>5</v>
      </c>
      <c r="B25" s="48" t="s">
        <v>146</v>
      </c>
      <c r="C25" s="58">
        <v>4.5999999999999996</v>
      </c>
      <c r="D25" s="52">
        <v>1500</v>
      </c>
      <c r="E25" s="53">
        <f t="shared" si="2"/>
        <v>3.0666666666666663E-3</v>
      </c>
      <c r="F25" s="60">
        <v>100</v>
      </c>
      <c r="G25" s="55">
        <f t="shared" si="3"/>
        <v>0.30666666666666664</v>
      </c>
    </row>
    <row r="26" spans="1:7" x14ac:dyDescent="0.3">
      <c r="A26" s="49">
        <v>6</v>
      </c>
      <c r="B26" s="48" t="s">
        <v>120</v>
      </c>
      <c r="C26" s="58">
        <v>7.5</v>
      </c>
      <c r="D26" s="52">
        <v>325</v>
      </c>
      <c r="E26" s="53">
        <f t="shared" si="2"/>
        <v>2.3076923076923078E-2</v>
      </c>
      <c r="F26" s="60">
        <v>1</v>
      </c>
      <c r="G26" s="55">
        <f t="shared" si="3"/>
        <v>2.3076923076923078E-2</v>
      </c>
    </row>
    <row r="27" spans="1:7" x14ac:dyDescent="0.3">
      <c r="A27" s="49">
        <v>7</v>
      </c>
      <c r="B27" s="48" t="s">
        <v>147</v>
      </c>
      <c r="C27" s="58">
        <v>150</v>
      </c>
      <c r="D27" s="52">
        <v>1000</v>
      </c>
      <c r="E27" s="53">
        <f t="shared" si="2"/>
        <v>0.15</v>
      </c>
      <c r="F27" s="60">
        <v>1</v>
      </c>
      <c r="G27" s="55">
        <f t="shared" si="3"/>
        <v>0.15</v>
      </c>
    </row>
    <row r="28" spans="1:7" x14ac:dyDescent="0.3">
      <c r="A28" s="49">
        <v>8</v>
      </c>
      <c r="B28" s="48" t="s">
        <v>148</v>
      </c>
      <c r="C28" s="58">
        <v>145</v>
      </c>
      <c r="D28" s="52">
        <v>700</v>
      </c>
      <c r="E28" s="53">
        <f t="shared" si="2"/>
        <v>0.20714285714285716</v>
      </c>
      <c r="F28" s="60">
        <v>10</v>
      </c>
      <c r="G28" s="55">
        <f t="shared" si="3"/>
        <v>2.0714285714285716</v>
      </c>
    </row>
    <row r="29" spans="1:7" x14ac:dyDescent="0.3">
      <c r="A29" s="49">
        <v>9</v>
      </c>
      <c r="B29" s="48" t="s">
        <v>149</v>
      </c>
      <c r="C29" s="58">
        <v>219</v>
      </c>
      <c r="D29" s="52">
        <v>1000</v>
      </c>
      <c r="E29" s="53">
        <f t="shared" ref="E29:E34" si="4">C29/D29</f>
        <v>0.219</v>
      </c>
      <c r="F29" s="60">
        <v>25</v>
      </c>
      <c r="G29" s="55">
        <f t="shared" ref="G29:G35" si="5">F29*E29</f>
        <v>5.4749999999999996</v>
      </c>
    </row>
    <row r="30" spans="1:7" x14ac:dyDescent="0.3">
      <c r="A30" s="49">
        <v>10</v>
      </c>
      <c r="B30" s="48" t="s">
        <v>151</v>
      </c>
      <c r="C30" s="58">
        <v>390</v>
      </c>
      <c r="D30" s="52">
        <v>700</v>
      </c>
      <c r="E30" s="53">
        <f t="shared" si="4"/>
        <v>0.55714285714285716</v>
      </c>
      <c r="F30" s="60">
        <v>15</v>
      </c>
      <c r="G30" s="55">
        <f t="shared" si="5"/>
        <v>8.3571428571428577</v>
      </c>
    </row>
    <row r="31" spans="1:7" x14ac:dyDescent="0.3">
      <c r="A31" s="49">
        <v>11</v>
      </c>
      <c r="B31" s="48" t="s">
        <v>152</v>
      </c>
      <c r="C31" s="58">
        <v>390</v>
      </c>
      <c r="D31" s="52">
        <v>700</v>
      </c>
      <c r="E31" s="53">
        <f t="shared" si="4"/>
        <v>0.55714285714285716</v>
      </c>
      <c r="F31" s="60">
        <v>15</v>
      </c>
      <c r="G31" s="55">
        <f t="shared" si="5"/>
        <v>8.3571428571428577</v>
      </c>
    </row>
    <row r="32" spans="1:7" x14ac:dyDescent="0.3">
      <c r="A32" s="49">
        <v>12</v>
      </c>
      <c r="B32" s="48"/>
      <c r="C32" s="58">
        <v>1</v>
      </c>
      <c r="D32" s="52">
        <v>1</v>
      </c>
      <c r="E32" s="53">
        <f t="shared" si="4"/>
        <v>1</v>
      </c>
      <c r="F32" s="60">
        <v>14</v>
      </c>
      <c r="G32" s="55">
        <f t="shared" si="5"/>
        <v>14</v>
      </c>
    </row>
    <row r="33" spans="1:7" x14ac:dyDescent="0.3">
      <c r="A33" s="49">
        <v>13</v>
      </c>
      <c r="B33" s="48"/>
      <c r="C33" s="58">
        <v>1</v>
      </c>
      <c r="D33" s="52">
        <v>1</v>
      </c>
      <c r="E33" s="53">
        <f t="shared" si="4"/>
        <v>1</v>
      </c>
      <c r="F33" s="60">
        <v>15</v>
      </c>
      <c r="G33" s="55">
        <f t="shared" si="5"/>
        <v>15</v>
      </c>
    </row>
    <row r="34" spans="1:7" x14ac:dyDescent="0.3">
      <c r="A34" s="49">
        <v>14</v>
      </c>
      <c r="B34" s="48"/>
      <c r="C34" s="58">
        <v>1</v>
      </c>
      <c r="D34" s="52">
        <v>1</v>
      </c>
      <c r="E34" s="53">
        <f t="shared" si="4"/>
        <v>1</v>
      </c>
      <c r="F34" s="60">
        <v>16</v>
      </c>
      <c r="G34" s="55">
        <f t="shared" si="5"/>
        <v>16</v>
      </c>
    </row>
    <row r="35" spans="1:7" ht="15" thickBot="1" x14ac:dyDescent="0.35">
      <c r="A35" s="50">
        <v>15</v>
      </c>
      <c r="B35" s="48"/>
      <c r="C35" s="58">
        <v>1</v>
      </c>
      <c r="D35" s="52">
        <v>1</v>
      </c>
      <c r="E35" s="53">
        <f t="shared" ref="E35" si="6">C35/D35</f>
        <v>1</v>
      </c>
      <c r="F35" s="62">
        <v>17</v>
      </c>
      <c r="G35" s="61">
        <f t="shared" si="5"/>
        <v>17</v>
      </c>
    </row>
    <row r="37" spans="1:7" ht="15" thickBot="1" x14ac:dyDescent="0.35"/>
    <row r="38" spans="1:7" x14ac:dyDescent="0.3">
      <c r="A38" s="181" t="s">
        <v>10</v>
      </c>
      <c r="B38" s="182"/>
      <c r="C38" s="182"/>
      <c r="D38" s="182"/>
      <c r="E38" s="182"/>
      <c r="F38" s="182"/>
      <c r="G38" s="183"/>
    </row>
    <row r="39" spans="1:7" ht="15" thickBot="1" x14ac:dyDescent="0.35">
      <c r="A39" s="187"/>
      <c r="B39" s="188"/>
      <c r="C39" s="188"/>
      <c r="D39" s="188"/>
      <c r="E39" s="188"/>
      <c r="F39" s="188"/>
      <c r="G39" s="189"/>
    </row>
    <row r="40" spans="1:7" x14ac:dyDescent="0.3">
      <c r="A40" s="200" t="s">
        <v>9</v>
      </c>
      <c r="B40" s="202" t="s">
        <v>136</v>
      </c>
      <c r="C40" s="202" t="s">
        <v>11</v>
      </c>
      <c r="D40" s="190" t="s">
        <v>137</v>
      </c>
      <c r="E40" s="192" t="s">
        <v>13</v>
      </c>
      <c r="F40" s="198" t="s">
        <v>14</v>
      </c>
      <c r="G40" s="196" t="s">
        <v>15</v>
      </c>
    </row>
    <row r="41" spans="1:7" x14ac:dyDescent="0.3">
      <c r="A41" s="201"/>
      <c r="B41" s="203"/>
      <c r="C41" s="203"/>
      <c r="D41" s="191"/>
      <c r="E41" s="193"/>
      <c r="F41" s="199"/>
      <c r="G41" s="197"/>
    </row>
    <row r="42" spans="1:7" x14ac:dyDescent="0.3">
      <c r="A42" s="49">
        <v>1</v>
      </c>
      <c r="B42" s="48" t="s">
        <v>153</v>
      </c>
      <c r="C42" s="58">
        <v>27</v>
      </c>
      <c r="D42" s="52">
        <v>250</v>
      </c>
      <c r="E42" s="53">
        <f>C42/D42</f>
        <v>0.108</v>
      </c>
      <c r="F42" s="60">
        <v>60</v>
      </c>
      <c r="G42" s="55">
        <f>F42*E42</f>
        <v>6.4799999999999995</v>
      </c>
    </row>
    <row r="43" spans="1:7" x14ac:dyDescent="0.3">
      <c r="A43" s="49">
        <v>2</v>
      </c>
      <c r="B43" s="48" t="s">
        <v>155</v>
      </c>
      <c r="C43" s="58">
        <v>135</v>
      </c>
      <c r="D43" s="52">
        <v>1000</v>
      </c>
      <c r="E43" s="53">
        <f t="shared" ref="E43:E49" si="7">C43/D43</f>
        <v>0.13500000000000001</v>
      </c>
      <c r="F43" s="60">
        <v>40</v>
      </c>
      <c r="G43" s="55">
        <f t="shared" ref="G43:G49" si="8">F43*E43</f>
        <v>5.4</v>
      </c>
    </row>
    <row r="44" spans="1:7" x14ac:dyDescent="0.3">
      <c r="A44" s="49">
        <v>3</v>
      </c>
      <c r="B44" s="48" t="s">
        <v>156</v>
      </c>
      <c r="C44" s="58">
        <v>265</v>
      </c>
      <c r="D44" s="52">
        <v>350</v>
      </c>
      <c r="E44" s="53">
        <f t="shared" si="7"/>
        <v>0.75714285714285712</v>
      </c>
      <c r="F44" s="60">
        <v>30</v>
      </c>
      <c r="G44" s="55">
        <f t="shared" si="8"/>
        <v>22.714285714285715</v>
      </c>
    </row>
    <row r="45" spans="1:7" x14ac:dyDescent="0.3">
      <c r="A45" s="49">
        <v>4</v>
      </c>
      <c r="B45" s="48" t="s">
        <v>159</v>
      </c>
      <c r="C45" s="58">
        <v>100</v>
      </c>
      <c r="D45" s="52">
        <v>200</v>
      </c>
      <c r="E45" s="53">
        <f t="shared" si="7"/>
        <v>0.5</v>
      </c>
      <c r="F45" s="60">
        <v>50</v>
      </c>
      <c r="G45" s="55">
        <f t="shared" si="8"/>
        <v>25</v>
      </c>
    </row>
    <row r="46" spans="1:7" x14ac:dyDescent="0.3">
      <c r="A46" s="49">
        <v>5</v>
      </c>
      <c r="B46" s="48" t="s">
        <v>157</v>
      </c>
      <c r="C46" s="58">
        <v>75</v>
      </c>
      <c r="D46" s="52">
        <v>200</v>
      </c>
      <c r="E46" s="53">
        <f t="shared" si="7"/>
        <v>0.375</v>
      </c>
      <c r="F46" s="60">
        <v>100</v>
      </c>
      <c r="G46" s="55">
        <f t="shared" si="8"/>
        <v>37.5</v>
      </c>
    </row>
    <row r="47" spans="1:7" x14ac:dyDescent="0.3">
      <c r="A47" s="49">
        <v>6</v>
      </c>
      <c r="B47" s="48" t="s">
        <v>158</v>
      </c>
      <c r="C47" s="58">
        <v>75</v>
      </c>
      <c r="D47" s="52">
        <v>400</v>
      </c>
      <c r="E47" s="53">
        <f t="shared" si="7"/>
        <v>0.1875</v>
      </c>
      <c r="F47" s="60">
        <v>1</v>
      </c>
      <c r="G47" s="55">
        <f t="shared" si="8"/>
        <v>0.1875</v>
      </c>
    </row>
    <row r="48" spans="1:7" x14ac:dyDescent="0.3">
      <c r="A48" s="49">
        <v>7</v>
      </c>
      <c r="B48" s="48" t="s">
        <v>160</v>
      </c>
      <c r="C48" s="58">
        <v>85</v>
      </c>
      <c r="D48" s="52">
        <v>450</v>
      </c>
      <c r="E48" s="53">
        <f t="shared" si="7"/>
        <v>0.18888888888888888</v>
      </c>
      <c r="F48" s="60">
        <v>150</v>
      </c>
      <c r="G48" s="55">
        <f t="shared" si="8"/>
        <v>28.333333333333332</v>
      </c>
    </row>
    <row r="49" spans="1:7" x14ac:dyDescent="0.3">
      <c r="A49" s="49">
        <v>8</v>
      </c>
      <c r="B49" s="48"/>
      <c r="C49" s="58"/>
      <c r="D49" s="52">
        <v>700</v>
      </c>
      <c r="E49" s="53">
        <f t="shared" si="7"/>
        <v>0</v>
      </c>
      <c r="F49" s="60">
        <v>10</v>
      </c>
      <c r="G49" s="55">
        <f t="shared" si="8"/>
        <v>0</v>
      </c>
    </row>
    <row r="50" spans="1:7" x14ac:dyDescent="0.3">
      <c r="A50" s="49">
        <v>9</v>
      </c>
      <c r="B50" s="48"/>
      <c r="C50" s="58"/>
      <c r="D50" s="52">
        <v>701</v>
      </c>
      <c r="E50" s="53">
        <f t="shared" ref="E50:E56" si="9">C50/D50</f>
        <v>0</v>
      </c>
      <c r="F50" s="60">
        <v>11</v>
      </c>
      <c r="G50" s="55">
        <f t="shared" ref="G50:G56" si="10">F50*E50</f>
        <v>0</v>
      </c>
    </row>
    <row r="51" spans="1:7" x14ac:dyDescent="0.3">
      <c r="A51" s="49">
        <v>10</v>
      </c>
      <c r="B51" s="48"/>
      <c r="C51" s="58"/>
      <c r="D51" s="52">
        <v>702</v>
      </c>
      <c r="E51" s="53">
        <f t="shared" si="9"/>
        <v>0</v>
      </c>
      <c r="F51" s="60">
        <v>12</v>
      </c>
      <c r="G51" s="55">
        <f t="shared" si="10"/>
        <v>0</v>
      </c>
    </row>
    <row r="52" spans="1:7" x14ac:dyDescent="0.3">
      <c r="A52" s="49">
        <v>11</v>
      </c>
      <c r="B52" s="48"/>
      <c r="C52" s="58"/>
      <c r="D52" s="52">
        <v>703</v>
      </c>
      <c r="E52" s="53">
        <f t="shared" si="9"/>
        <v>0</v>
      </c>
      <c r="F52" s="60">
        <v>13</v>
      </c>
      <c r="G52" s="55">
        <f t="shared" si="10"/>
        <v>0</v>
      </c>
    </row>
    <row r="53" spans="1:7" x14ac:dyDescent="0.3">
      <c r="A53" s="49">
        <v>12</v>
      </c>
      <c r="B53" s="48"/>
      <c r="C53" s="58"/>
      <c r="D53" s="52">
        <v>704</v>
      </c>
      <c r="E53" s="53">
        <f t="shared" si="9"/>
        <v>0</v>
      </c>
      <c r="F53" s="60">
        <v>14</v>
      </c>
      <c r="G53" s="55">
        <f t="shared" si="10"/>
        <v>0</v>
      </c>
    </row>
    <row r="54" spans="1:7" x14ac:dyDescent="0.3">
      <c r="A54" s="49">
        <v>13</v>
      </c>
      <c r="B54" s="48"/>
      <c r="C54" s="58"/>
      <c r="D54" s="52">
        <v>705</v>
      </c>
      <c r="E54" s="53">
        <f t="shared" si="9"/>
        <v>0</v>
      </c>
      <c r="F54" s="60">
        <v>15</v>
      </c>
      <c r="G54" s="55">
        <f t="shared" si="10"/>
        <v>0</v>
      </c>
    </row>
    <row r="55" spans="1:7" x14ac:dyDescent="0.3">
      <c r="A55" s="49">
        <v>14</v>
      </c>
      <c r="B55" s="48"/>
      <c r="C55" s="58"/>
      <c r="D55" s="52">
        <v>706</v>
      </c>
      <c r="E55" s="53">
        <f t="shared" si="9"/>
        <v>0</v>
      </c>
      <c r="F55" s="60">
        <v>16</v>
      </c>
      <c r="G55" s="55">
        <f t="shared" si="10"/>
        <v>0</v>
      </c>
    </row>
    <row r="56" spans="1:7" ht="15" thickBot="1" x14ac:dyDescent="0.35">
      <c r="A56" s="50">
        <v>15</v>
      </c>
      <c r="B56" s="48"/>
      <c r="C56" s="58"/>
      <c r="D56" s="52">
        <v>707</v>
      </c>
      <c r="E56" s="53">
        <f t="shared" si="9"/>
        <v>0</v>
      </c>
      <c r="F56" s="60">
        <v>17</v>
      </c>
      <c r="G56" s="55">
        <f t="shared" si="10"/>
        <v>0</v>
      </c>
    </row>
  </sheetData>
  <mergeCells count="24">
    <mergeCell ref="C6:C7"/>
    <mergeCell ref="F40:F41"/>
    <mergeCell ref="G40:G41"/>
    <mergeCell ref="A40:A41"/>
    <mergeCell ref="B40:B41"/>
    <mergeCell ref="C40:C41"/>
    <mergeCell ref="D40:D41"/>
    <mergeCell ref="E40:E41"/>
    <mergeCell ref="A4:G5"/>
    <mergeCell ref="A38:G39"/>
    <mergeCell ref="D6:D7"/>
    <mergeCell ref="E6:E7"/>
    <mergeCell ref="F6:F7"/>
    <mergeCell ref="G6:G7"/>
    <mergeCell ref="D19:D20"/>
    <mergeCell ref="E19:E20"/>
    <mergeCell ref="F19:F20"/>
    <mergeCell ref="G19:G20"/>
    <mergeCell ref="A17:G18"/>
    <mergeCell ref="A19:A20"/>
    <mergeCell ref="B19:B20"/>
    <mergeCell ref="C19:C20"/>
    <mergeCell ref="A6:A7"/>
    <mergeCell ref="B6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AF6B-E886-4426-BB40-0FE23729F35B}">
  <dimension ref="A1:AB454"/>
  <sheetViews>
    <sheetView view="pageBreakPreview" topLeftCell="A414" zoomScale="60" zoomScaleNormal="70" workbookViewId="0">
      <selection activeCell="D20" sqref="D20"/>
    </sheetView>
  </sheetViews>
  <sheetFormatPr defaultRowHeight="15.6" x14ac:dyDescent="0.3"/>
  <cols>
    <col min="1" max="1" width="8.44140625" style="4" bestFit="1" customWidth="1"/>
    <col min="2" max="2" width="27.109375" style="4" bestFit="1" customWidth="1"/>
    <col min="3" max="3" width="7.88671875" style="4" bestFit="1" customWidth="1"/>
    <col min="4" max="4" width="16.77734375" style="4" bestFit="1" customWidth="1"/>
    <col min="5" max="5" width="16.88671875" style="4" bestFit="1" customWidth="1"/>
    <col min="6" max="6" width="8.88671875" style="4"/>
    <col min="7" max="7" width="27.21875" style="4" bestFit="1" customWidth="1"/>
    <col min="8" max="8" width="14.44140625" style="4" bestFit="1" customWidth="1"/>
    <col min="9" max="9" width="31.5546875" style="4" bestFit="1" customWidth="1"/>
    <col min="10" max="10" width="8.5546875" style="4" bestFit="1" customWidth="1"/>
    <col min="11" max="11" width="19.88671875" style="4" bestFit="1" customWidth="1"/>
    <col min="12" max="12" width="21.33203125" style="4" bestFit="1" customWidth="1"/>
    <col min="13" max="14" width="17" style="4" bestFit="1" customWidth="1"/>
    <col min="15" max="15" width="16.88671875" style="4" bestFit="1" customWidth="1"/>
    <col min="16" max="16" width="27.21875" style="4" bestFit="1" customWidth="1"/>
    <col min="17" max="17" width="27.21875" style="4" customWidth="1"/>
    <col min="18" max="18" width="28.33203125" style="4" bestFit="1" customWidth="1"/>
    <col min="19" max="19" width="39" style="4" bestFit="1" customWidth="1"/>
    <col min="20" max="20" width="8.44140625" style="4" bestFit="1" customWidth="1"/>
    <col min="21" max="21" width="22" style="4" bestFit="1" customWidth="1"/>
    <col min="22" max="22" width="7.88671875" style="4" bestFit="1" customWidth="1"/>
    <col min="23" max="23" width="16.77734375" style="4" bestFit="1" customWidth="1"/>
    <col min="24" max="24" width="16.88671875" style="4" bestFit="1" customWidth="1"/>
    <col min="25" max="25" width="8.88671875" style="4"/>
    <col min="26" max="26" width="27.21875" style="4" bestFit="1" customWidth="1"/>
    <col min="27" max="27" width="14.44140625" style="4" bestFit="1" customWidth="1"/>
    <col min="28" max="28" width="23.5546875" style="4" bestFit="1" customWidth="1"/>
    <col min="29" max="16384" width="8.88671875" style="4"/>
  </cols>
  <sheetData>
    <row r="1" spans="1:19" x14ac:dyDescent="0.3">
      <c r="A1" s="228" t="s">
        <v>30</v>
      </c>
      <c r="B1" s="229"/>
      <c r="C1" s="229"/>
      <c r="D1" s="229"/>
      <c r="E1" s="229"/>
      <c r="F1" s="229"/>
      <c r="G1" s="229"/>
      <c r="H1" s="230"/>
    </row>
    <row r="2" spans="1:19" ht="16.2" thickBot="1" x14ac:dyDescent="0.35">
      <c r="A2" s="6"/>
      <c r="B2" s="22"/>
      <c r="C2" s="22"/>
      <c r="D2" s="22"/>
      <c r="E2" s="22"/>
      <c r="F2" s="22"/>
      <c r="G2" s="22"/>
      <c r="H2" s="6"/>
    </row>
    <row r="3" spans="1:19" x14ac:dyDescent="0.3">
      <c r="A3" s="213" t="s">
        <v>0</v>
      </c>
      <c r="B3" s="214"/>
      <c r="C3" s="231" t="s">
        <v>1</v>
      </c>
      <c r="D3" s="231"/>
      <c r="E3" s="231"/>
      <c r="F3" s="231"/>
      <c r="G3" s="231"/>
      <c r="H3" s="232"/>
    </row>
    <row r="4" spans="1:19" x14ac:dyDescent="0.3">
      <c r="A4" s="215"/>
      <c r="B4" s="216"/>
      <c r="C4" s="233" t="s">
        <v>2</v>
      </c>
      <c r="D4" s="233"/>
      <c r="E4" s="233"/>
      <c r="F4" s="233"/>
      <c r="G4" s="233"/>
      <c r="H4" s="234"/>
    </row>
    <row r="5" spans="1:19" ht="16.2" thickBot="1" x14ac:dyDescent="0.35">
      <c r="A5" s="217"/>
      <c r="B5" s="218"/>
      <c r="C5" s="235" t="s">
        <v>3</v>
      </c>
      <c r="D5" s="235"/>
      <c r="E5" s="235"/>
      <c r="F5" s="235"/>
      <c r="G5" s="235"/>
      <c r="H5" s="236"/>
    </row>
    <row r="6" spans="1:19" ht="16.2" thickBot="1" x14ac:dyDescent="0.35">
      <c r="A6" s="31"/>
      <c r="B6" s="31"/>
      <c r="C6" s="32"/>
      <c r="D6" s="32"/>
      <c r="E6" s="32"/>
      <c r="F6" s="32"/>
      <c r="G6" s="32"/>
      <c r="H6" s="32"/>
    </row>
    <row r="7" spans="1:19" x14ac:dyDescent="0.3">
      <c r="A7" s="213" t="s">
        <v>4</v>
      </c>
      <c r="B7" s="214"/>
      <c r="C7" s="219" t="s">
        <v>5</v>
      </c>
      <c r="D7" s="219"/>
      <c r="E7" s="219"/>
      <c r="F7" s="219"/>
      <c r="G7" s="219"/>
      <c r="H7" s="220"/>
    </row>
    <row r="8" spans="1:19" x14ac:dyDescent="0.3">
      <c r="A8" s="215"/>
      <c r="B8" s="216"/>
      <c r="C8" s="221" t="s">
        <v>6</v>
      </c>
      <c r="D8" s="221"/>
      <c r="E8" s="221"/>
      <c r="F8" s="221"/>
      <c r="G8" s="221"/>
      <c r="H8" s="222"/>
    </row>
    <row r="9" spans="1:19" x14ac:dyDescent="0.3">
      <c r="A9" s="215"/>
      <c r="B9" s="216"/>
      <c r="C9" s="223" t="s">
        <v>7</v>
      </c>
      <c r="D9" s="223"/>
      <c r="E9" s="223"/>
      <c r="F9" s="223"/>
      <c r="G9" s="223"/>
      <c r="H9" s="224"/>
    </row>
    <row r="10" spans="1:19" ht="16.2" thickBot="1" x14ac:dyDescent="0.35">
      <c r="A10" s="217"/>
      <c r="B10" s="218"/>
      <c r="C10" s="225" t="s">
        <v>8</v>
      </c>
      <c r="D10" s="225"/>
      <c r="E10" s="225"/>
      <c r="F10" s="225"/>
      <c r="G10" s="225"/>
      <c r="H10" s="226"/>
    </row>
    <row r="12" spans="1:19" ht="16.2" thickBot="1" x14ac:dyDescent="0.35"/>
    <row r="13" spans="1:19" x14ac:dyDescent="0.3">
      <c r="A13" s="125" t="s">
        <v>9</v>
      </c>
      <c r="B13" s="127" t="s">
        <v>10</v>
      </c>
      <c r="C13" s="127" t="s">
        <v>11</v>
      </c>
      <c r="D13" s="5" t="s">
        <v>12</v>
      </c>
      <c r="E13" s="129" t="s">
        <v>13</v>
      </c>
      <c r="F13" s="6"/>
      <c r="G13" s="131" t="s">
        <v>14</v>
      </c>
      <c r="H13" s="133" t="s">
        <v>15</v>
      </c>
      <c r="I13" s="227" t="s">
        <v>58</v>
      </c>
      <c r="K13" s="125" t="s">
        <v>9</v>
      </c>
      <c r="L13" s="127" t="s">
        <v>10</v>
      </c>
      <c r="M13" s="127" t="s">
        <v>11</v>
      </c>
      <c r="N13" s="5" t="s">
        <v>12</v>
      </c>
      <c r="O13" s="129" t="s">
        <v>13</v>
      </c>
      <c r="P13" s="6"/>
      <c r="Q13" s="131" t="s">
        <v>14</v>
      </c>
      <c r="R13" s="133" t="s">
        <v>15</v>
      </c>
      <c r="S13" s="212" t="s">
        <v>85</v>
      </c>
    </row>
    <row r="14" spans="1:19" x14ac:dyDescent="0.3">
      <c r="A14" s="126"/>
      <c r="B14" s="128"/>
      <c r="C14" s="128"/>
      <c r="D14" s="7" t="s">
        <v>16</v>
      </c>
      <c r="E14" s="130"/>
      <c r="F14" s="6"/>
      <c r="G14" s="132"/>
      <c r="H14" s="134"/>
      <c r="I14" s="227"/>
      <c r="K14" s="126"/>
      <c r="L14" s="128"/>
      <c r="M14" s="128"/>
      <c r="N14" s="7" t="s">
        <v>16</v>
      </c>
      <c r="O14" s="130"/>
      <c r="P14" s="6"/>
      <c r="Q14" s="132"/>
      <c r="R14" s="134"/>
      <c r="S14" s="212"/>
    </row>
    <row r="15" spans="1:19" x14ac:dyDescent="0.3">
      <c r="A15" s="8">
        <v>1</v>
      </c>
      <c r="B15" s="9" t="s">
        <v>57</v>
      </c>
      <c r="C15" s="10">
        <v>400</v>
      </c>
      <c r="D15" s="10">
        <v>1000</v>
      </c>
      <c r="E15" s="11">
        <f t="shared" ref="E15:E21" si="0">C15/D15</f>
        <v>0.4</v>
      </c>
      <c r="F15" s="6"/>
      <c r="G15" s="12">
        <v>18</v>
      </c>
      <c r="H15" s="13">
        <f t="shared" ref="H15:H21" si="1">G15*E15</f>
        <v>7.2</v>
      </c>
      <c r="I15" s="6"/>
      <c r="K15" s="8">
        <v>1</v>
      </c>
      <c r="L15" s="9" t="s">
        <v>76</v>
      </c>
      <c r="M15" s="10">
        <v>650</v>
      </c>
      <c r="N15" s="10">
        <v>1000</v>
      </c>
      <c r="O15" s="11">
        <f t="shared" ref="O15:O22" si="2">M15/N15</f>
        <v>0.65</v>
      </c>
      <c r="P15" s="6"/>
      <c r="Q15" s="12">
        <v>18</v>
      </c>
      <c r="R15" s="13">
        <f t="shared" ref="R15:R22" si="3">Q15*O15</f>
        <v>11.700000000000001</v>
      </c>
      <c r="S15" s="6"/>
    </row>
    <row r="16" spans="1:19" x14ac:dyDescent="0.3">
      <c r="A16" s="8">
        <v>2</v>
      </c>
      <c r="B16" s="9" t="s">
        <v>34</v>
      </c>
      <c r="C16" s="10">
        <v>4.5999999999999996</v>
      </c>
      <c r="D16" s="10">
        <v>1500</v>
      </c>
      <c r="E16" s="14">
        <f t="shared" si="0"/>
        <v>3.0666666666666663E-3</v>
      </c>
      <c r="F16" s="6"/>
      <c r="G16" s="12">
        <v>80</v>
      </c>
      <c r="H16" s="15">
        <f t="shared" si="1"/>
        <v>0.24533333333333329</v>
      </c>
      <c r="I16" s="6"/>
      <c r="K16" s="8">
        <v>2</v>
      </c>
      <c r="L16" s="9"/>
      <c r="M16" s="10">
        <v>0</v>
      </c>
      <c r="N16" s="10">
        <v>1</v>
      </c>
      <c r="O16" s="14">
        <f t="shared" si="2"/>
        <v>0</v>
      </c>
      <c r="P16" s="6"/>
      <c r="Q16" s="12">
        <v>1</v>
      </c>
      <c r="R16" s="15">
        <f t="shared" si="3"/>
        <v>0</v>
      </c>
      <c r="S16" s="6"/>
    </row>
    <row r="17" spans="1:19" x14ac:dyDescent="0.3">
      <c r="A17" s="8">
        <v>3</v>
      </c>
      <c r="B17" s="9"/>
      <c r="C17" s="10">
        <v>0</v>
      </c>
      <c r="D17" s="10">
        <v>2000</v>
      </c>
      <c r="E17" s="14">
        <f t="shared" si="0"/>
        <v>0</v>
      </c>
      <c r="F17" s="6"/>
      <c r="G17" s="12">
        <v>30</v>
      </c>
      <c r="H17" s="13">
        <f t="shared" si="1"/>
        <v>0</v>
      </c>
      <c r="I17" s="6"/>
      <c r="K17" s="8">
        <v>3</v>
      </c>
      <c r="L17" s="9"/>
      <c r="M17" s="10">
        <v>0</v>
      </c>
      <c r="N17" s="10">
        <v>1</v>
      </c>
      <c r="O17" s="14">
        <f t="shared" si="2"/>
        <v>0</v>
      </c>
      <c r="P17" s="6"/>
      <c r="Q17" s="12">
        <v>1</v>
      </c>
      <c r="R17" s="13">
        <f t="shared" si="3"/>
        <v>0</v>
      </c>
      <c r="S17" s="6"/>
    </row>
    <row r="18" spans="1:19" x14ac:dyDescent="0.3">
      <c r="A18" s="8">
        <v>4</v>
      </c>
      <c r="B18" s="9"/>
      <c r="C18" s="10">
        <v>0</v>
      </c>
      <c r="D18" s="10">
        <v>2000</v>
      </c>
      <c r="E18" s="14">
        <f t="shared" si="0"/>
        <v>0</v>
      </c>
      <c r="F18" s="6"/>
      <c r="G18" s="12">
        <v>30</v>
      </c>
      <c r="H18" s="13">
        <f t="shared" si="1"/>
        <v>0</v>
      </c>
      <c r="I18" s="6"/>
      <c r="K18" s="8">
        <v>4</v>
      </c>
      <c r="L18" s="9" t="s">
        <v>34</v>
      </c>
      <c r="M18" s="10">
        <v>4.5999999999999996</v>
      </c>
      <c r="N18" s="10">
        <v>1500</v>
      </c>
      <c r="O18" s="14">
        <f t="shared" si="2"/>
        <v>3.0666666666666663E-3</v>
      </c>
      <c r="P18" s="6"/>
      <c r="Q18" s="12">
        <v>0</v>
      </c>
      <c r="R18" s="13">
        <f t="shared" si="3"/>
        <v>0</v>
      </c>
      <c r="S18" s="6"/>
    </row>
    <row r="19" spans="1:19" x14ac:dyDescent="0.3">
      <c r="A19" s="8">
        <v>5</v>
      </c>
      <c r="B19" s="9" t="s">
        <v>35</v>
      </c>
      <c r="C19" s="10">
        <v>100</v>
      </c>
      <c r="D19" s="10">
        <v>50</v>
      </c>
      <c r="E19" s="14">
        <f t="shared" si="0"/>
        <v>2</v>
      </c>
      <c r="F19" s="6"/>
      <c r="G19" s="12">
        <v>1</v>
      </c>
      <c r="H19" s="13">
        <f t="shared" si="1"/>
        <v>2</v>
      </c>
      <c r="I19" s="6"/>
      <c r="K19" s="8">
        <v>5</v>
      </c>
      <c r="L19" s="9"/>
      <c r="M19" s="10">
        <v>0</v>
      </c>
      <c r="N19" s="10">
        <v>1</v>
      </c>
      <c r="O19" s="14">
        <f t="shared" si="2"/>
        <v>0</v>
      </c>
      <c r="P19" s="6"/>
      <c r="Q19" s="12">
        <v>0</v>
      </c>
      <c r="R19" s="13">
        <f t="shared" si="3"/>
        <v>0</v>
      </c>
      <c r="S19" s="6"/>
    </row>
    <row r="20" spans="1:19" x14ac:dyDescent="0.3">
      <c r="A20" s="8">
        <v>6</v>
      </c>
      <c r="B20" s="9" t="s">
        <v>29</v>
      </c>
      <c r="C20" s="10">
        <v>19</v>
      </c>
      <c r="D20" s="10">
        <v>100</v>
      </c>
      <c r="E20" s="14">
        <f t="shared" si="0"/>
        <v>0.19</v>
      </c>
      <c r="F20" s="6"/>
      <c r="G20" s="12">
        <v>1</v>
      </c>
      <c r="H20" s="13">
        <f t="shared" si="1"/>
        <v>0.19</v>
      </c>
      <c r="I20" s="6"/>
      <c r="K20" s="8">
        <v>6</v>
      </c>
      <c r="L20" s="9"/>
      <c r="M20" s="10">
        <v>0</v>
      </c>
      <c r="N20" s="10">
        <v>1</v>
      </c>
      <c r="O20" s="14">
        <f t="shared" si="2"/>
        <v>0</v>
      </c>
      <c r="P20" s="6"/>
      <c r="Q20" s="12">
        <v>0</v>
      </c>
      <c r="R20" s="13">
        <f t="shared" si="3"/>
        <v>0</v>
      </c>
      <c r="S20" s="6"/>
    </row>
    <row r="21" spans="1:19" x14ac:dyDescent="0.3">
      <c r="A21" s="8">
        <v>7</v>
      </c>
      <c r="B21" s="9"/>
      <c r="C21" s="10">
        <v>0</v>
      </c>
      <c r="D21" s="10">
        <v>100</v>
      </c>
      <c r="E21" s="14">
        <f t="shared" si="0"/>
        <v>0</v>
      </c>
      <c r="F21" s="6"/>
      <c r="G21" s="12">
        <v>1</v>
      </c>
      <c r="H21" s="13">
        <f t="shared" si="1"/>
        <v>0</v>
      </c>
      <c r="I21" s="6"/>
      <c r="K21" s="8">
        <v>7</v>
      </c>
      <c r="L21" s="9" t="s">
        <v>35</v>
      </c>
      <c r="M21" s="10">
        <v>100</v>
      </c>
      <c r="N21" s="10">
        <v>50</v>
      </c>
      <c r="O21" s="14">
        <f t="shared" si="2"/>
        <v>2</v>
      </c>
      <c r="P21" s="6"/>
      <c r="Q21" s="12">
        <v>1</v>
      </c>
      <c r="R21" s="13">
        <f t="shared" si="3"/>
        <v>2</v>
      </c>
      <c r="S21" s="6"/>
    </row>
    <row r="22" spans="1:19" x14ac:dyDescent="0.3">
      <c r="A22" s="8">
        <v>8</v>
      </c>
      <c r="B22" s="9"/>
      <c r="C22" s="10"/>
      <c r="D22" s="10"/>
      <c r="E22" s="14"/>
      <c r="F22" s="6"/>
      <c r="G22" s="12"/>
      <c r="H22" s="13"/>
      <c r="I22" s="6"/>
      <c r="K22" s="8">
        <v>8</v>
      </c>
      <c r="L22" s="9" t="s">
        <v>29</v>
      </c>
      <c r="M22" s="10">
        <v>19</v>
      </c>
      <c r="N22" s="10">
        <v>100</v>
      </c>
      <c r="O22" s="14">
        <f t="shared" si="2"/>
        <v>0.19</v>
      </c>
      <c r="P22" s="6"/>
      <c r="Q22" s="12">
        <v>1</v>
      </c>
      <c r="R22" s="13">
        <f t="shared" si="3"/>
        <v>0.19</v>
      </c>
      <c r="S22" s="6"/>
    </row>
    <row r="23" spans="1:19" x14ac:dyDescent="0.3">
      <c r="A23" s="8">
        <v>9</v>
      </c>
      <c r="B23" s="9"/>
      <c r="C23" s="10"/>
      <c r="D23" s="10"/>
      <c r="E23" s="14"/>
      <c r="F23" s="6"/>
      <c r="G23" s="12"/>
      <c r="H23" s="13"/>
      <c r="I23" s="6"/>
      <c r="K23" s="8">
        <v>9</v>
      </c>
      <c r="L23" s="9"/>
      <c r="M23" s="10"/>
      <c r="N23" s="10"/>
      <c r="O23" s="14"/>
      <c r="P23" s="6"/>
      <c r="Q23" s="12"/>
      <c r="R23" s="13"/>
      <c r="S23" s="6"/>
    </row>
    <row r="24" spans="1:19" ht="16.2" thickBot="1" x14ac:dyDescent="0.35">
      <c r="A24" s="16">
        <v>10</v>
      </c>
      <c r="B24" s="17"/>
      <c r="C24" s="18"/>
      <c r="D24" s="18"/>
      <c r="E24" s="19"/>
      <c r="F24" s="6"/>
      <c r="G24" s="12"/>
      <c r="H24" s="13"/>
      <c r="I24" s="6"/>
      <c r="K24" s="16">
        <v>10</v>
      </c>
      <c r="L24" s="17"/>
      <c r="M24" s="18"/>
      <c r="N24" s="18"/>
      <c r="O24" s="19"/>
      <c r="P24" s="6"/>
      <c r="Q24" s="12"/>
      <c r="R24" s="13"/>
      <c r="S24" s="6"/>
    </row>
    <row r="25" spans="1:19" ht="16.2" thickBot="1" x14ac:dyDescent="0.35">
      <c r="A25" s="6"/>
      <c r="B25" s="6"/>
      <c r="C25" s="6"/>
      <c r="D25" s="6"/>
      <c r="E25" s="6"/>
      <c r="F25" s="6"/>
      <c r="G25" s="20" t="s">
        <v>18</v>
      </c>
      <c r="H25" s="21">
        <f>SUM(H15:H24)</f>
        <v>9.6353333333333335</v>
      </c>
      <c r="I25" s="6"/>
      <c r="K25" s="6"/>
      <c r="L25" s="6"/>
      <c r="M25" s="6"/>
      <c r="N25" s="6"/>
      <c r="O25" s="6"/>
      <c r="P25" s="6"/>
      <c r="Q25" s="20" t="s">
        <v>18</v>
      </c>
      <c r="R25" s="21">
        <f>SUM(R15:R24)</f>
        <v>13.89</v>
      </c>
      <c r="S25" s="6"/>
    </row>
    <row r="26" spans="1:19" ht="16.2" thickBot="1" x14ac:dyDescent="0.35">
      <c r="A26" s="6"/>
      <c r="B26" s="6"/>
      <c r="C26" s="6"/>
      <c r="D26" s="6"/>
      <c r="E26" s="6"/>
      <c r="F26" s="6"/>
      <c r="G26" s="22"/>
      <c r="H26" s="23"/>
      <c r="I26" s="6"/>
      <c r="K26" s="6"/>
      <c r="L26" s="6"/>
      <c r="M26" s="6"/>
      <c r="N26" s="6"/>
      <c r="O26" s="6"/>
      <c r="P26" s="6"/>
      <c r="Q26" s="22"/>
      <c r="R26" s="23"/>
      <c r="S26" s="6"/>
    </row>
    <row r="27" spans="1:19" x14ac:dyDescent="0.3">
      <c r="A27" s="110" t="s">
        <v>19</v>
      </c>
      <c r="B27" s="111"/>
      <c r="C27" s="111"/>
      <c r="D27" s="111"/>
      <c r="E27" s="111"/>
      <c r="F27" s="111"/>
      <c r="G27" s="111"/>
      <c r="H27" s="112"/>
      <c r="I27" s="6"/>
      <c r="K27" s="110" t="s">
        <v>19</v>
      </c>
      <c r="L27" s="111"/>
      <c r="M27" s="111"/>
      <c r="N27" s="111"/>
      <c r="O27" s="111"/>
      <c r="P27" s="111"/>
      <c r="Q27" s="111"/>
      <c r="R27" s="112"/>
      <c r="S27" s="6"/>
    </row>
    <row r="28" spans="1:19" x14ac:dyDescent="0.3">
      <c r="A28" s="113" t="s">
        <v>20</v>
      </c>
      <c r="B28" s="114"/>
      <c r="C28" s="115"/>
      <c r="D28" s="116">
        <f>H25</f>
        <v>9.6353333333333335</v>
      </c>
      <c r="E28" s="116"/>
      <c r="F28" s="117" t="s">
        <v>21</v>
      </c>
      <c r="G28" s="118"/>
      <c r="H28" s="24">
        <f>D28*30%+D28</f>
        <v>12.525933333333334</v>
      </c>
      <c r="I28" s="6"/>
      <c r="K28" s="113" t="s">
        <v>20</v>
      </c>
      <c r="L28" s="114"/>
      <c r="M28" s="115"/>
      <c r="N28" s="150">
        <f>R25</f>
        <v>13.89</v>
      </c>
      <c r="O28" s="151"/>
      <c r="P28" s="117" t="s">
        <v>21</v>
      </c>
      <c r="Q28" s="118"/>
      <c r="R28" s="24">
        <f>N28*30%+N28</f>
        <v>18.057000000000002</v>
      </c>
      <c r="S28" s="6"/>
    </row>
    <row r="29" spans="1:19" ht="16.2" thickBot="1" x14ac:dyDescent="0.35">
      <c r="A29" s="119" t="s">
        <v>22</v>
      </c>
      <c r="B29" s="120"/>
      <c r="C29" s="121"/>
      <c r="D29" s="122">
        <f>H28</f>
        <v>12.525933333333334</v>
      </c>
      <c r="E29" s="122"/>
      <c r="F29" s="123">
        <v>1.6</v>
      </c>
      <c r="G29" s="124"/>
      <c r="H29" s="25">
        <f>D29*F29</f>
        <v>20.041493333333335</v>
      </c>
      <c r="I29" s="6"/>
      <c r="K29" s="119" t="s">
        <v>22</v>
      </c>
      <c r="L29" s="120"/>
      <c r="M29" s="121"/>
      <c r="N29" s="148">
        <f>R28</f>
        <v>18.057000000000002</v>
      </c>
      <c r="O29" s="149"/>
      <c r="P29" s="123">
        <v>1.6</v>
      </c>
      <c r="Q29" s="124"/>
      <c r="R29" s="25">
        <f>N29*P29</f>
        <v>28.891200000000005</v>
      </c>
      <c r="S29" s="6"/>
    </row>
    <row r="30" spans="1:19" ht="16.2" thickBot="1" x14ac:dyDescent="0.35">
      <c r="A30" s="26"/>
      <c r="B30" s="26"/>
      <c r="C30" s="26"/>
      <c r="D30" s="27"/>
      <c r="E30" s="27"/>
      <c r="F30" s="22"/>
      <c r="G30" s="22"/>
      <c r="H30" s="28"/>
      <c r="I30" s="6"/>
      <c r="K30" s="26"/>
      <c r="L30" s="26"/>
      <c r="M30" s="26"/>
      <c r="N30" s="27"/>
      <c r="O30" s="27"/>
      <c r="P30" s="22"/>
      <c r="Q30" s="22"/>
      <c r="R30" s="28"/>
      <c r="S30" s="6"/>
    </row>
    <row r="31" spans="1:19" ht="16.2" thickBot="1" x14ac:dyDescent="0.35">
      <c r="A31" s="139" t="s">
        <v>23</v>
      </c>
      <c r="B31" s="140"/>
      <c r="C31" s="141"/>
      <c r="D31" s="205">
        <v>1</v>
      </c>
      <c r="E31" s="206"/>
      <c r="F31" s="207" t="s">
        <v>24</v>
      </c>
      <c r="G31" s="208"/>
      <c r="H31" s="29">
        <f>H29/D31</f>
        <v>20.041493333333335</v>
      </c>
      <c r="I31" s="6"/>
      <c r="K31" s="139" t="s">
        <v>23</v>
      </c>
      <c r="L31" s="140"/>
      <c r="M31" s="141"/>
      <c r="N31" s="205">
        <v>1</v>
      </c>
      <c r="O31" s="206"/>
      <c r="P31" s="207" t="s">
        <v>24</v>
      </c>
      <c r="Q31" s="208"/>
      <c r="R31" s="29">
        <f>R29/N31</f>
        <v>28.891200000000005</v>
      </c>
      <c r="S31" s="6"/>
    </row>
    <row r="32" spans="1:19" ht="16.2" thickBot="1" x14ac:dyDescent="0.35">
      <c r="K32" s="6"/>
      <c r="L32" s="6"/>
      <c r="M32" s="6"/>
      <c r="N32" s="6"/>
      <c r="O32" s="6"/>
      <c r="P32" s="6"/>
      <c r="Q32" s="6"/>
      <c r="R32" s="6"/>
      <c r="S32" s="6"/>
    </row>
    <row r="33" spans="1:19" x14ac:dyDescent="0.3">
      <c r="A33" s="125" t="s">
        <v>9</v>
      </c>
      <c r="B33" s="127" t="s">
        <v>10</v>
      </c>
      <c r="C33" s="127" t="s">
        <v>11</v>
      </c>
      <c r="D33" s="5" t="s">
        <v>12</v>
      </c>
      <c r="E33" s="129" t="s">
        <v>13</v>
      </c>
      <c r="F33" s="6"/>
      <c r="G33" s="131" t="s">
        <v>14</v>
      </c>
      <c r="H33" s="133" t="s">
        <v>15</v>
      </c>
      <c r="I33" s="227" t="s">
        <v>54</v>
      </c>
      <c r="K33" s="125" t="s">
        <v>9</v>
      </c>
      <c r="L33" s="127" t="s">
        <v>10</v>
      </c>
      <c r="M33" s="127" t="s">
        <v>11</v>
      </c>
      <c r="N33" s="5" t="s">
        <v>12</v>
      </c>
      <c r="O33" s="129" t="s">
        <v>13</v>
      </c>
      <c r="P33" s="6"/>
      <c r="Q33" s="131" t="s">
        <v>14</v>
      </c>
      <c r="R33" s="133" t="s">
        <v>15</v>
      </c>
      <c r="S33" s="212" t="s">
        <v>81</v>
      </c>
    </row>
    <row r="34" spans="1:19" x14ac:dyDescent="0.3">
      <c r="A34" s="126"/>
      <c r="B34" s="128"/>
      <c r="C34" s="128"/>
      <c r="D34" s="7" t="s">
        <v>16</v>
      </c>
      <c r="E34" s="130"/>
      <c r="F34" s="6"/>
      <c r="G34" s="132"/>
      <c r="H34" s="134"/>
      <c r="I34" s="227"/>
      <c r="K34" s="126"/>
      <c r="L34" s="128"/>
      <c r="M34" s="128"/>
      <c r="N34" s="7" t="s">
        <v>16</v>
      </c>
      <c r="O34" s="130"/>
      <c r="P34" s="6"/>
      <c r="Q34" s="132"/>
      <c r="R34" s="134"/>
      <c r="S34" s="212"/>
    </row>
    <row r="35" spans="1:19" x14ac:dyDescent="0.3">
      <c r="A35" s="8">
        <v>1</v>
      </c>
      <c r="B35" s="9" t="s">
        <v>55</v>
      </c>
      <c r="C35" s="10">
        <v>730</v>
      </c>
      <c r="D35" s="10">
        <v>1000</v>
      </c>
      <c r="E35" s="11">
        <f t="shared" ref="E35:E41" si="4">C35/D35</f>
        <v>0.73</v>
      </c>
      <c r="F35" s="6"/>
      <c r="G35" s="12">
        <v>18</v>
      </c>
      <c r="H35" s="13">
        <f t="shared" ref="H35:H41" si="5">G35*E35</f>
        <v>13.14</v>
      </c>
      <c r="I35" s="6"/>
      <c r="K35" s="8">
        <v>1</v>
      </c>
      <c r="L35" s="9" t="s">
        <v>48</v>
      </c>
      <c r="M35" s="10">
        <v>730</v>
      </c>
      <c r="N35" s="10">
        <v>1000</v>
      </c>
      <c r="O35" s="11">
        <f t="shared" ref="O35:O44" si="6">M35/N35</f>
        <v>0.73</v>
      </c>
      <c r="P35" s="6"/>
      <c r="Q35" s="12">
        <v>18</v>
      </c>
      <c r="R35" s="13">
        <f t="shared" ref="R35:R44" si="7">Q35*O35</f>
        <v>13.14</v>
      </c>
      <c r="S35" s="6"/>
    </row>
    <row r="36" spans="1:19" x14ac:dyDescent="0.3">
      <c r="A36" s="8">
        <v>2</v>
      </c>
      <c r="B36" s="9" t="s">
        <v>34</v>
      </c>
      <c r="C36" s="10">
        <v>4.5999999999999996</v>
      </c>
      <c r="D36" s="10">
        <v>1500</v>
      </c>
      <c r="E36" s="14">
        <f t="shared" si="4"/>
        <v>3.0666666666666663E-3</v>
      </c>
      <c r="F36" s="6"/>
      <c r="G36" s="12">
        <v>80</v>
      </c>
      <c r="H36" s="15">
        <f t="shared" si="5"/>
        <v>0.24533333333333329</v>
      </c>
      <c r="I36" s="6"/>
      <c r="K36" s="8">
        <v>2</v>
      </c>
      <c r="L36" s="9" t="s">
        <v>84</v>
      </c>
      <c r="M36" s="10">
        <v>480</v>
      </c>
      <c r="N36" s="10">
        <v>1000</v>
      </c>
      <c r="O36" s="14">
        <f t="shared" si="6"/>
        <v>0.48</v>
      </c>
      <c r="P36" s="6"/>
      <c r="Q36" s="12">
        <v>18</v>
      </c>
      <c r="R36" s="15">
        <f t="shared" si="7"/>
        <v>8.64</v>
      </c>
      <c r="S36" s="6"/>
    </row>
    <row r="37" spans="1:19" x14ac:dyDescent="0.3">
      <c r="A37" s="8">
        <v>3</v>
      </c>
      <c r="B37" s="9"/>
      <c r="C37" s="10">
        <v>0</v>
      </c>
      <c r="D37" s="10">
        <v>2000</v>
      </c>
      <c r="E37" s="14">
        <f t="shared" si="4"/>
        <v>0</v>
      </c>
      <c r="F37" s="6"/>
      <c r="G37" s="12">
        <v>30</v>
      </c>
      <c r="H37" s="13">
        <f t="shared" si="5"/>
        <v>0</v>
      </c>
      <c r="I37" s="6"/>
      <c r="K37" s="8">
        <v>3</v>
      </c>
      <c r="L37" s="9" t="s">
        <v>46</v>
      </c>
      <c r="M37" s="10">
        <v>650</v>
      </c>
      <c r="N37" s="10">
        <v>1000</v>
      </c>
      <c r="O37" s="14">
        <f t="shared" si="6"/>
        <v>0.65</v>
      </c>
      <c r="P37" s="6"/>
      <c r="Q37" s="12">
        <v>18</v>
      </c>
      <c r="R37" s="13">
        <f t="shared" si="7"/>
        <v>11.700000000000001</v>
      </c>
      <c r="S37" s="6"/>
    </row>
    <row r="38" spans="1:19" x14ac:dyDescent="0.3">
      <c r="A38" s="8">
        <v>4</v>
      </c>
      <c r="B38" s="9"/>
      <c r="C38" s="10">
        <v>0</v>
      </c>
      <c r="D38" s="10">
        <v>2000</v>
      </c>
      <c r="E38" s="14">
        <f t="shared" si="4"/>
        <v>0</v>
      </c>
      <c r="F38" s="6"/>
      <c r="G38" s="12">
        <v>30</v>
      </c>
      <c r="H38" s="13">
        <f t="shared" si="5"/>
        <v>0</v>
      </c>
      <c r="I38" s="6"/>
      <c r="K38" s="8">
        <v>4</v>
      </c>
      <c r="L38" s="9" t="s">
        <v>82</v>
      </c>
      <c r="M38" s="10">
        <v>400</v>
      </c>
      <c r="N38" s="10">
        <v>1000</v>
      </c>
      <c r="O38" s="14">
        <f t="shared" si="6"/>
        <v>0.4</v>
      </c>
      <c r="P38" s="6"/>
      <c r="Q38" s="12">
        <v>18</v>
      </c>
      <c r="R38" s="13">
        <f t="shared" si="7"/>
        <v>7.2</v>
      </c>
      <c r="S38" s="6"/>
    </row>
    <row r="39" spans="1:19" x14ac:dyDescent="0.3">
      <c r="A39" s="8">
        <v>5</v>
      </c>
      <c r="B39" s="9" t="s">
        <v>35</v>
      </c>
      <c r="C39" s="10">
        <v>100</v>
      </c>
      <c r="D39" s="10">
        <v>50</v>
      </c>
      <c r="E39" s="14">
        <f t="shared" si="4"/>
        <v>2</v>
      </c>
      <c r="F39" s="6"/>
      <c r="G39" s="12">
        <v>1</v>
      </c>
      <c r="H39" s="13">
        <f t="shared" si="5"/>
        <v>2</v>
      </c>
      <c r="I39" s="6"/>
      <c r="K39" s="8">
        <v>5</v>
      </c>
      <c r="L39" s="9" t="s">
        <v>83</v>
      </c>
      <c r="M39" s="10">
        <v>600</v>
      </c>
      <c r="N39" s="10">
        <v>1000</v>
      </c>
      <c r="O39" s="14">
        <f t="shared" si="6"/>
        <v>0.6</v>
      </c>
      <c r="P39" s="6"/>
      <c r="Q39" s="12">
        <v>18</v>
      </c>
      <c r="R39" s="13">
        <f t="shared" si="7"/>
        <v>10.799999999999999</v>
      </c>
      <c r="S39" s="6"/>
    </row>
    <row r="40" spans="1:19" x14ac:dyDescent="0.3">
      <c r="A40" s="8">
        <v>6</v>
      </c>
      <c r="B40" s="9" t="s">
        <v>29</v>
      </c>
      <c r="C40" s="10">
        <v>19</v>
      </c>
      <c r="D40" s="10">
        <v>100</v>
      </c>
      <c r="E40" s="14">
        <f t="shared" si="4"/>
        <v>0.19</v>
      </c>
      <c r="F40" s="6"/>
      <c r="G40" s="12">
        <v>1</v>
      </c>
      <c r="H40" s="13">
        <f t="shared" si="5"/>
        <v>0.19</v>
      </c>
      <c r="I40" s="6"/>
      <c r="K40" s="8">
        <v>6</v>
      </c>
      <c r="L40" s="9" t="s">
        <v>96</v>
      </c>
      <c r="M40" s="10">
        <v>300</v>
      </c>
      <c r="N40" s="10">
        <v>250</v>
      </c>
      <c r="O40" s="14">
        <f t="shared" si="6"/>
        <v>1.2</v>
      </c>
      <c r="P40" s="6"/>
      <c r="Q40" s="12">
        <v>18</v>
      </c>
      <c r="R40" s="13">
        <f t="shared" si="7"/>
        <v>21.599999999999998</v>
      </c>
      <c r="S40" s="6"/>
    </row>
    <row r="41" spans="1:19" x14ac:dyDescent="0.3">
      <c r="A41" s="8">
        <v>7</v>
      </c>
      <c r="B41" s="9"/>
      <c r="C41" s="10">
        <v>0</v>
      </c>
      <c r="D41" s="10">
        <v>100</v>
      </c>
      <c r="E41" s="14">
        <f t="shared" si="4"/>
        <v>0</v>
      </c>
      <c r="F41" s="6"/>
      <c r="G41" s="12">
        <v>1</v>
      </c>
      <c r="H41" s="13">
        <f t="shared" si="5"/>
        <v>0</v>
      </c>
      <c r="I41" s="6"/>
      <c r="K41" s="8">
        <v>7</v>
      </c>
      <c r="L41" s="9" t="s">
        <v>95</v>
      </c>
      <c r="M41" s="10">
        <v>339</v>
      </c>
      <c r="N41" s="10">
        <v>250</v>
      </c>
      <c r="O41" s="14">
        <f t="shared" si="6"/>
        <v>1.3560000000000001</v>
      </c>
      <c r="P41" s="6"/>
      <c r="Q41" s="12">
        <v>18</v>
      </c>
      <c r="R41" s="13">
        <f t="shared" si="7"/>
        <v>24.408000000000001</v>
      </c>
      <c r="S41" s="6"/>
    </row>
    <row r="42" spans="1:19" x14ac:dyDescent="0.3">
      <c r="A42" s="8">
        <v>8</v>
      </c>
      <c r="B42" s="9"/>
      <c r="C42" s="10"/>
      <c r="D42" s="10"/>
      <c r="E42" s="14"/>
      <c r="F42" s="6"/>
      <c r="G42" s="12"/>
      <c r="H42" s="13"/>
      <c r="I42" s="6"/>
      <c r="K42" s="8">
        <v>8</v>
      </c>
      <c r="L42" s="33" t="s">
        <v>94</v>
      </c>
      <c r="M42" s="34">
        <v>1000</v>
      </c>
      <c r="N42" s="34">
        <v>1000</v>
      </c>
      <c r="O42" s="35">
        <f t="shared" si="6"/>
        <v>1</v>
      </c>
      <c r="P42" s="36"/>
      <c r="Q42" s="37">
        <v>18</v>
      </c>
      <c r="R42" s="38">
        <f t="shared" si="7"/>
        <v>18</v>
      </c>
      <c r="S42" s="6"/>
    </row>
    <row r="43" spans="1:19" x14ac:dyDescent="0.3">
      <c r="A43" s="8">
        <v>9</v>
      </c>
      <c r="B43" s="9"/>
      <c r="C43" s="10"/>
      <c r="D43" s="10"/>
      <c r="E43" s="14"/>
      <c r="F43" s="6"/>
      <c r="G43" s="12"/>
      <c r="H43" s="13"/>
      <c r="I43" s="6"/>
      <c r="K43" s="8">
        <v>9</v>
      </c>
      <c r="L43" s="9" t="s">
        <v>92</v>
      </c>
      <c r="M43" s="10">
        <v>159</v>
      </c>
      <c r="N43" s="10">
        <v>250</v>
      </c>
      <c r="O43" s="14">
        <f t="shared" si="6"/>
        <v>0.63600000000000001</v>
      </c>
      <c r="P43" s="6"/>
      <c r="Q43" s="12">
        <v>18</v>
      </c>
      <c r="R43" s="13">
        <f t="shared" si="7"/>
        <v>11.448</v>
      </c>
      <c r="S43" s="6"/>
    </row>
    <row r="44" spans="1:19" ht="16.2" thickBot="1" x14ac:dyDescent="0.35">
      <c r="A44" s="16">
        <v>10</v>
      </c>
      <c r="B44" s="17"/>
      <c r="C44" s="18"/>
      <c r="D44" s="18"/>
      <c r="E44" s="19"/>
      <c r="F44" s="6"/>
      <c r="G44" s="12"/>
      <c r="H44" s="13"/>
      <c r="I44" s="6"/>
      <c r="K44" s="16">
        <v>10</v>
      </c>
      <c r="L44" s="17" t="s">
        <v>93</v>
      </c>
      <c r="M44" s="18">
        <v>179</v>
      </c>
      <c r="N44" s="18">
        <v>250</v>
      </c>
      <c r="O44" s="19">
        <f t="shared" si="6"/>
        <v>0.71599999999999997</v>
      </c>
      <c r="P44" s="6"/>
      <c r="Q44" s="12">
        <v>18</v>
      </c>
      <c r="R44" s="13">
        <f t="shared" si="7"/>
        <v>12.888</v>
      </c>
      <c r="S44" s="6"/>
    </row>
    <row r="45" spans="1:19" ht="16.2" thickBot="1" x14ac:dyDescent="0.35">
      <c r="A45" s="6"/>
      <c r="B45" s="6"/>
      <c r="C45" s="6"/>
      <c r="D45" s="6"/>
      <c r="E45" s="6"/>
      <c r="F45" s="6"/>
      <c r="G45" s="20" t="s">
        <v>18</v>
      </c>
      <c r="H45" s="21">
        <f>SUM(H35:H44)</f>
        <v>15.575333333333333</v>
      </c>
      <c r="I45" s="6"/>
      <c r="K45" s="6"/>
      <c r="L45" s="6"/>
      <c r="M45" s="6"/>
      <c r="N45" s="6"/>
      <c r="O45" s="6"/>
      <c r="P45" s="6"/>
      <c r="Q45" s="20" t="s">
        <v>18</v>
      </c>
      <c r="R45" s="21">
        <f>SUM(R35:R44)</f>
        <v>139.82400000000001</v>
      </c>
      <c r="S45" s="6"/>
    </row>
    <row r="46" spans="1:19" ht="16.2" thickBot="1" x14ac:dyDescent="0.35">
      <c r="A46" s="6"/>
      <c r="B46" s="6"/>
      <c r="C46" s="6"/>
      <c r="D46" s="6"/>
      <c r="E46" s="6"/>
      <c r="F46" s="6"/>
      <c r="G46" s="22"/>
      <c r="H46" s="23"/>
      <c r="I46" s="6"/>
      <c r="K46" s="6"/>
      <c r="L46" s="6"/>
      <c r="M46" s="6"/>
      <c r="N46" s="6"/>
      <c r="O46" s="6"/>
      <c r="P46" s="6"/>
      <c r="Q46" s="22"/>
      <c r="R46" s="23"/>
      <c r="S46" s="6"/>
    </row>
    <row r="47" spans="1:19" x14ac:dyDescent="0.3">
      <c r="A47" s="110" t="s">
        <v>19</v>
      </c>
      <c r="B47" s="111"/>
      <c r="C47" s="111"/>
      <c r="D47" s="111"/>
      <c r="E47" s="111"/>
      <c r="F47" s="111"/>
      <c r="G47" s="111"/>
      <c r="H47" s="112"/>
      <c r="I47" s="6"/>
      <c r="K47" s="110" t="s">
        <v>19</v>
      </c>
      <c r="L47" s="111"/>
      <c r="M47" s="111"/>
      <c r="N47" s="111"/>
      <c r="O47" s="111"/>
      <c r="P47" s="111"/>
      <c r="Q47" s="111"/>
      <c r="R47" s="112"/>
      <c r="S47" s="6"/>
    </row>
    <row r="48" spans="1:19" x14ac:dyDescent="0.3">
      <c r="A48" s="113" t="s">
        <v>20</v>
      </c>
      <c r="B48" s="114"/>
      <c r="C48" s="115"/>
      <c r="D48" s="116">
        <f>H45</f>
        <v>15.575333333333333</v>
      </c>
      <c r="E48" s="116"/>
      <c r="F48" s="117" t="s">
        <v>21</v>
      </c>
      <c r="G48" s="118"/>
      <c r="H48" s="24">
        <f>D48*30%+D48</f>
        <v>20.247933333333332</v>
      </c>
      <c r="I48" s="6"/>
      <c r="K48" s="113" t="s">
        <v>20</v>
      </c>
      <c r="L48" s="114"/>
      <c r="M48" s="115"/>
      <c r="N48" s="150">
        <f>R45</f>
        <v>139.82400000000001</v>
      </c>
      <c r="O48" s="151"/>
      <c r="P48" s="117" t="s">
        <v>21</v>
      </c>
      <c r="Q48" s="118"/>
      <c r="R48" s="24">
        <f>N48*30%+N48</f>
        <v>181.77120000000002</v>
      </c>
      <c r="S48" s="6"/>
    </row>
    <row r="49" spans="1:19" ht="16.2" thickBot="1" x14ac:dyDescent="0.35">
      <c r="A49" s="119" t="s">
        <v>22</v>
      </c>
      <c r="B49" s="120"/>
      <c r="C49" s="121"/>
      <c r="D49" s="122">
        <f>H48</f>
        <v>20.247933333333332</v>
      </c>
      <c r="E49" s="122"/>
      <c r="F49" s="123">
        <v>1.6</v>
      </c>
      <c r="G49" s="124"/>
      <c r="H49" s="25">
        <f>D49*F49</f>
        <v>32.396693333333332</v>
      </c>
      <c r="I49" s="6"/>
      <c r="K49" s="119" t="s">
        <v>22</v>
      </c>
      <c r="L49" s="120"/>
      <c r="M49" s="121"/>
      <c r="N49" s="148">
        <f>R48</f>
        <v>181.77120000000002</v>
      </c>
      <c r="O49" s="149"/>
      <c r="P49" s="123">
        <v>1.6</v>
      </c>
      <c r="Q49" s="124"/>
      <c r="R49" s="25">
        <f>N49*P49</f>
        <v>290.83392000000003</v>
      </c>
      <c r="S49" s="6"/>
    </row>
    <row r="50" spans="1:19" ht="16.2" thickBot="1" x14ac:dyDescent="0.35">
      <c r="A50" s="26"/>
      <c r="B50" s="26"/>
      <c r="C50" s="26"/>
      <c r="D50" s="27"/>
      <c r="E50" s="27"/>
      <c r="F50" s="22"/>
      <c r="G50" s="22"/>
      <c r="H50" s="28"/>
      <c r="I50" s="6"/>
      <c r="K50" s="26"/>
      <c r="L50" s="26"/>
      <c r="M50" s="26"/>
      <c r="N50" s="27"/>
      <c r="O50" s="27"/>
      <c r="P50" s="22"/>
      <c r="Q50" s="22"/>
      <c r="R50" s="28"/>
      <c r="S50" s="6"/>
    </row>
    <row r="51" spans="1:19" ht="16.2" thickBot="1" x14ac:dyDescent="0.35">
      <c r="A51" s="139" t="s">
        <v>23</v>
      </c>
      <c r="B51" s="140"/>
      <c r="C51" s="141"/>
      <c r="D51" s="205">
        <v>1</v>
      </c>
      <c r="E51" s="206"/>
      <c r="F51" s="207" t="s">
        <v>24</v>
      </c>
      <c r="G51" s="208"/>
      <c r="H51" s="29">
        <f>H49/D51</f>
        <v>32.396693333333332</v>
      </c>
      <c r="I51" s="6"/>
      <c r="K51" s="139" t="s">
        <v>23</v>
      </c>
      <c r="L51" s="140"/>
      <c r="M51" s="141"/>
      <c r="N51" s="205">
        <v>1</v>
      </c>
      <c r="O51" s="206"/>
      <c r="P51" s="207" t="s">
        <v>24</v>
      </c>
      <c r="Q51" s="208"/>
      <c r="R51" s="29">
        <f>R49/N51</f>
        <v>290.83392000000003</v>
      </c>
      <c r="S51" s="6"/>
    </row>
    <row r="52" spans="1:19" ht="16.2" thickBot="1" x14ac:dyDescent="0.35"/>
    <row r="53" spans="1:19" ht="16.2" thickBot="1" x14ac:dyDescent="0.35">
      <c r="A53" s="125" t="s">
        <v>9</v>
      </c>
      <c r="B53" s="127" t="s">
        <v>10</v>
      </c>
      <c r="C53" s="127" t="s">
        <v>11</v>
      </c>
      <c r="D53" s="5" t="s">
        <v>12</v>
      </c>
      <c r="E53" s="129" t="s">
        <v>13</v>
      </c>
      <c r="F53" s="6"/>
      <c r="G53" s="131" t="s">
        <v>14</v>
      </c>
      <c r="H53" s="133" t="s">
        <v>15</v>
      </c>
      <c r="I53" s="227" t="s">
        <v>90</v>
      </c>
    </row>
    <row r="54" spans="1:19" x14ac:dyDescent="0.3">
      <c r="A54" s="126"/>
      <c r="B54" s="128"/>
      <c r="C54" s="128"/>
      <c r="D54" s="7" t="s">
        <v>16</v>
      </c>
      <c r="E54" s="130"/>
      <c r="F54" s="6"/>
      <c r="G54" s="132"/>
      <c r="H54" s="134"/>
      <c r="I54" s="227"/>
      <c r="K54" s="125" t="s">
        <v>9</v>
      </c>
      <c r="L54" s="127" t="s">
        <v>10</v>
      </c>
      <c r="M54" s="127" t="s">
        <v>11</v>
      </c>
      <c r="N54" s="5" t="s">
        <v>12</v>
      </c>
      <c r="O54" s="129" t="s">
        <v>13</v>
      </c>
      <c r="P54" s="6"/>
      <c r="Q54" s="131" t="s">
        <v>14</v>
      </c>
      <c r="R54" s="133" t="s">
        <v>15</v>
      </c>
      <c r="S54" s="212" t="s">
        <v>81</v>
      </c>
    </row>
    <row r="55" spans="1:19" x14ac:dyDescent="0.3">
      <c r="A55" s="8">
        <v>1</v>
      </c>
      <c r="B55" s="9" t="s">
        <v>53</v>
      </c>
      <c r="C55" s="10">
        <v>480</v>
      </c>
      <c r="D55" s="10">
        <v>1000</v>
      </c>
      <c r="E55" s="11">
        <f t="shared" ref="E55:E61" si="8">C55/D55</f>
        <v>0.48</v>
      </c>
      <c r="F55" s="6"/>
      <c r="G55" s="12">
        <v>18</v>
      </c>
      <c r="H55" s="13">
        <f t="shared" ref="H55:H61" si="9">G55*E55</f>
        <v>8.64</v>
      </c>
      <c r="I55" s="6"/>
      <c r="K55" s="126"/>
      <c r="L55" s="128"/>
      <c r="M55" s="128"/>
      <c r="N55" s="7" t="s">
        <v>16</v>
      </c>
      <c r="O55" s="130"/>
      <c r="P55" s="6"/>
      <c r="Q55" s="132"/>
      <c r="R55" s="134"/>
      <c r="S55" s="212"/>
    </row>
    <row r="56" spans="1:19" x14ac:dyDescent="0.3">
      <c r="A56" s="8">
        <v>2</v>
      </c>
      <c r="B56" s="9" t="s">
        <v>34</v>
      </c>
      <c r="C56" s="10">
        <v>4.5999999999999996</v>
      </c>
      <c r="D56" s="10">
        <v>1500</v>
      </c>
      <c r="E56" s="14">
        <f t="shared" si="8"/>
        <v>3.0666666666666663E-3</v>
      </c>
      <c r="F56" s="6"/>
      <c r="G56" s="12">
        <v>80</v>
      </c>
      <c r="H56" s="15">
        <f t="shared" si="9"/>
        <v>0.24533333333333329</v>
      </c>
      <c r="I56" s="6"/>
      <c r="K56" s="8">
        <v>1</v>
      </c>
      <c r="L56" s="9" t="s">
        <v>113</v>
      </c>
      <c r="M56" s="10">
        <v>70</v>
      </c>
      <c r="N56" s="10">
        <v>100</v>
      </c>
      <c r="O56" s="11">
        <f t="shared" ref="O56:O65" si="10">M56/N56</f>
        <v>0.7</v>
      </c>
      <c r="P56" s="6"/>
      <c r="Q56" s="12">
        <v>1</v>
      </c>
      <c r="R56" s="13">
        <f t="shared" ref="R56:R65" si="11">Q56*O56</f>
        <v>0.7</v>
      </c>
      <c r="S56" s="6"/>
    </row>
    <row r="57" spans="1:19" x14ac:dyDescent="0.3">
      <c r="A57" s="8">
        <v>3</v>
      </c>
      <c r="B57" s="9"/>
      <c r="C57" s="10">
        <v>0</v>
      </c>
      <c r="D57" s="10">
        <v>2000</v>
      </c>
      <c r="E57" s="14">
        <f t="shared" si="8"/>
        <v>0</v>
      </c>
      <c r="F57" s="6"/>
      <c r="G57" s="12">
        <v>0</v>
      </c>
      <c r="H57" s="13">
        <f t="shared" si="9"/>
        <v>0</v>
      </c>
      <c r="I57" s="6"/>
      <c r="K57" s="8">
        <v>2</v>
      </c>
      <c r="L57" s="9"/>
      <c r="M57" s="10">
        <v>0</v>
      </c>
      <c r="N57" s="10">
        <v>1000</v>
      </c>
      <c r="O57" s="14">
        <f t="shared" si="10"/>
        <v>0</v>
      </c>
      <c r="P57" s="6"/>
      <c r="Q57" s="12">
        <v>18</v>
      </c>
      <c r="R57" s="13">
        <f t="shared" si="11"/>
        <v>0</v>
      </c>
      <c r="S57" s="6"/>
    </row>
    <row r="58" spans="1:19" x14ac:dyDescent="0.3">
      <c r="A58" s="8">
        <v>4</v>
      </c>
      <c r="B58" s="9"/>
      <c r="C58" s="10">
        <v>0</v>
      </c>
      <c r="D58" s="10">
        <v>2000</v>
      </c>
      <c r="E58" s="14">
        <f t="shared" si="8"/>
        <v>0</v>
      </c>
      <c r="F58" s="6"/>
      <c r="G58" s="12">
        <v>0</v>
      </c>
      <c r="H58" s="13">
        <f t="shared" si="9"/>
        <v>0</v>
      </c>
      <c r="I58" s="6"/>
      <c r="K58" s="8">
        <v>3</v>
      </c>
      <c r="L58" s="9"/>
      <c r="M58" s="10">
        <v>0</v>
      </c>
      <c r="N58" s="10">
        <v>1000</v>
      </c>
      <c r="O58" s="14">
        <f t="shared" si="10"/>
        <v>0</v>
      </c>
      <c r="P58" s="6"/>
      <c r="Q58" s="12">
        <v>18</v>
      </c>
      <c r="R58" s="13">
        <f t="shared" si="11"/>
        <v>0</v>
      </c>
      <c r="S58" s="6"/>
    </row>
    <row r="59" spans="1:19" x14ac:dyDescent="0.3">
      <c r="A59" s="8">
        <v>5</v>
      </c>
      <c r="B59" s="9" t="s">
        <v>35</v>
      </c>
      <c r="C59" s="10">
        <v>100</v>
      </c>
      <c r="D59" s="10">
        <v>50</v>
      </c>
      <c r="E59" s="14">
        <f t="shared" si="8"/>
        <v>2</v>
      </c>
      <c r="F59" s="6"/>
      <c r="G59" s="12">
        <v>1</v>
      </c>
      <c r="H59" s="13">
        <f t="shared" si="9"/>
        <v>2</v>
      </c>
      <c r="I59" s="6"/>
      <c r="K59" s="8">
        <v>4</v>
      </c>
      <c r="L59" s="9"/>
      <c r="M59" s="10">
        <v>0</v>
      </c>
      <c r="N59" s="10">
        <v>1000</v>
      </c>
      <c r="O59" s="14">
        <f t="shared" si="10"/>
        <v>0</v>
      </c>
      <c r="P59" s="6"/>
      <c r="Q59" s="12">
        <v>18</v>
      </c>
      <c r="R59" s="13">
        <f t="shared" si="11"/>
        <v>0</v>
      </c>
      <c r="S59" s="6"/>
    </row>
    <row r="60" spans="1:19" x14ac:dyDescent="0.3">
      <c r="A60" s="8">
        <v>6</v>
      </c>
      <c r="B60" s="9" t="s">
        <v>29</v>
      </c>
      <c r="C60" s="10">
        <v>19</v>
      </c>
      <c r="D60" s="10">
        <v>100</v>
      </c>
      <c r="E60" s="14">
        <f t="shared" si="8"/>
        <v>0.19</v>
      </c>
      <c r="F60" s="6"/>
      <c r="G60" s="12">
        <v>1</v>
      </c>
      <c r="H60" s="13">
        <f t="shared" si="9"/>
        <v>0.19</v>
      </c>
      <c r="I60" s="6"/>
      <c r="K60" s="8">
        <v>5</v>
      </c>
      <c r="L60" s="9"/>
      <c r="M60" s="10">
        <v>0</v>
      </c>
      <c r="N60" s="10">
        <v>1000</v>
      </c>
      <c r="O60" s="14">
        <f t="shared" si="10"/>
        <v>0</v>
      </c>
      <c r="P60" s="6"/>
      <c r="Q60" s="12">
        <v>18</v>
      </c>
      <c r="R60" s="13">
        <f t="shared" si="11"/>
        <v>0</v>
      </c>
      <c r="S60" s="6"/>
    </row>
    <row r="61" spans="1:19" x14ac:dyDescent="0.3">
      <c r="A61" s="8">
        <v>7</v>
      </c>
      <c r="B61" s="9"/>
      <c r="C61" s="10">
        <v>0</v>
      </c>
      <c r="D61" s="10">
        <v>100</v>
      </c>
      <c r="E61" s="14">
        <f t="shared" si="8"/>
        <v>0</v>
      </c>
      <c r="F61" s="6"/>
      <c r="G61" s="12">
        <v>1</v>
      </c>
      <c r="H61" s="13">
        <f t="shared" si="9"/>
        <v>0</v>
      </c>
      <c r="I61" s="6"/>
      <c r="K61" s="8">
        <v>6</v>
      </c>
      <c r="L61" s="9"/>
      <c r="M61" s="10">
        <v>0</v>
      </c>
      <c r="N61" s="10">
        <v>250</v>
      </c>
      <c r="O61" s="14">
        <f t="shared" si="10"/>
        <v>0</v>
      </c>
      <c r="P61" s="6"/>
      <c r="Q61" s="12">
        <v>18</v>
      </c>
      <c r="R61" s="13">
        <f t="shared" si="11"/>
        <v>0</v>
      </c>
      <c r="S61" s="6"/>
    </row>
    <row r="62" spans="1:19" x14ac:dyDescent="0.3">
      <c r="A62" s="8">
        <v>8</v>
      </c>
      <c r="B62" s="9"/>
      <c r="C62" s="10"/>
      <c r="D62" s="10"/>
      <c r="E62" s="14"/>
      <c r="F62" s="6"/>
      <c r="G62" s="12"/>
      <c r="H62" s="13"/>
      <c r="I62" s="6"/>
      <c r="K62" s="8">
        <v>7</v>
      </c>
      <c r="L62" s="9"/>
      <c r="M62" s="10">
        <v>0</v>
      </c>
      <c r="N62" s="10">
        <v>250</v>
      </c>
      <c r="O62" s="14">
        <f t="shared" si="10"/>
        <v>0</v>
      </c>
      <c r="P62" s="6"/>
      <c r="Q62" s="12">
        <v>18</v>
      </c>
      <c r="R62" s="13">
        <f t="shared" si="11"/>
        <v>0</v>
      </c>
      <c r="S62" s="6"/>
    </row>
    <row r="63" spans="1:19" x14ac:dyDescent="0.3">
      <c r="A63" s="8">
        <v>9</v>
      </c>
      <c r="B63" s="9"/>
      <c r="C63" s="10"/>
      <c r="D63" s="10"/>
      <c r="E63" s="14"/>
      <c r="F63" s="6"/>
      <c r="G63" s="12"/>
      <c r="H63" s="13"/>
      <c r="I63" s="6"/>
      <c r="K63" s="8">
        <v>8</v>
      </c>
      <c r="L63" s="9"/>
      <c r="M63" s="10">
        <v>0</v>
      </c>
      <c r="N63" s="10">
        <v>1000</v>
      </c>
      <c r="O63" s="14">
        <f t="shared" si="10"/>
        <v>0</v>
      </c>
      <c r="P63" s="6"/>
      <c r="Q63" s="12">
        <v>18</v>
      </c>
      <c r="R63" s="13">
        <f t="shared" si="11"/>
        <v>0</v>
      </c>
      <c r="S63" s="6"/>
    </row>
    <row r="64" spans="1:19" ht="16.2" thickBot="1" x14ac:dyDescent="0.35">
      <c r="A64" s="16">
        <v>10</v>
      </c>
      <c r="B64" s="17"/>
      <c r="C64" s="18"/>
      <c r="D64" s="18"/>
      <c r="E64" s="19"/>
      <c r="F64" s="6"/>
      <c r="G64" s="12"/>
      <c r="H64" s="13"/>
      <c r="I64" s="6"/>
      <c r="K64" s="8">
        <v>9</v>
      </c>
      <c r="L64" s="9"/>
      <c r="M64" s="10">
        <v>0</v>
      </c>
      <c r="N64" s="10">
        <v>250</v>
      </c>
      <c r="O64" s="14">
        <f t="shared" si="10"/>
        <v>0</v>
      </c>
      <c r="P64" s="6"/>
      <c r="Q64" s="12">
        <v>18</v>
      </c>
      <c r="R64" s="13">
        <f t="shared" si="11"/>
        <v>0</v>
      </c>
      <c r="S64" s="6"/>
    </row>
    <row r="65" spans="1:19" ht="16.2" thickBot="1" x14ac:dyDescent="0.35">
      <c r="A65" s="6"/>
      <c r="B65" s="6"/>
      <c r="C65" s="6"/>
      <c r="D65" s="6"/>
      <c r="E65" s="6"/>
      <c r="F65" s="6"/>
      <c r="G65" s="20" t="s">
        <v>18</v>
      </c>
      <c r="H65" s="21">
        <f>SUM(H55:H64)</f>
        <v>11.075333333333333</v>
      </c>
      <c r="I65" s="6"/>
      <c r="K65" s="16">
        <v>10</v>
      </c>
      <c r="L65" s="17"/>
      <c r="M65" s="18">
        <v>0</v>
      </c>
      <c r="N65" s="18">
        <v>250</v>
      </c>
      <c r="O65" s="19">
        <f t="shared" si="10"/>
        <v>0</v>
      </c>
      <c r="P65" s="6"/>
      <c r="Q65" s="12">
        <v>18</v>
      </c>
      <c r="R65" s="13">
        <f t="shared" si="11"/>
        <v>0</v>
      </c>
      <c r="S65" s="6"/>
    </row>
    <row r="66" spans="1:19" ht="16.2" thickBot="1" x14ac:dyDescent="0.35">
      <c r="A66" s="6"/>
      <c r="B66" s="6"/>
      <c r="C66" s="6"/>
      <c r="D66" s="6"/>
      <c r="E66" s="6"/>
      <c r="F66" s="6"/>
      <c r="G66" s="22"/>
      <c r="H66" s="23"/>
      <c r="I66" s="6"/>
      <c r="K66" s="6"/>
      <c r="L66" s="6"/>
      <c r="M66" s="6"/>
      <c r="N66" s="6"/>
      <c r="O66" s="6"/>
      <c r="P66" s="6"/>
      <c r="Q66" s="20" t="s">
        <v>18</v>
      </c>
      <c r="R66" s="21">
        <f>SUM(R56:R65)</f>
        <v>0.7</v>
      </c>
      <c r="S66" s="6"/>
    </row>
    <row r="67" spans="1:19" ht="16.2" thickBot="1" x14ac:dyDescent="0.35">
      <c r="A67" s="110" t="s">
        <v>19</v>
      </c>
      <c r="B67" s="111"/>
      <c r="C67" s="111"/>
      <c r="D67" s="111"/>
      <c r="E67" s="111"/>
      <c r="F67" s="111"/>
      <c r="G67" s="111"/>
      <c r="H67" s="112"/>
      <c r="I67" s="6"/>
      <c r="K67" s="6"/>
      <c r="L67" s="6"/>
      <c r="M67" s="6"/>
      <c r="N67" s="6"/>
      <c r="O67" s="6"/>
      <c r="P67" s="6"/>
      <c r="Q67" s="22"/>
      <c r="R67" s="23"/>
      <c r="S67" s="6"/>
    </row>
    <row r="68" spans="1:19" x14ac:dyDescent="0.3">
      <c r="A68" s="113" t="s">
        <v>20</v>
      </c>
      <c r="B68" s="114"/>
      <c r="C68" s="115"/>
      <c r="D68" s="116">
        <f>H65</f>
        <v>11.075333333333333</v>
      </c>
      <c r="E68" s="116"/>
      <c r="F68" s="117" t="s">
        <v>21</v>
      </c>
      <c r="G68" s="118"/>
      <c r="H68" s="24">
        <f>D68*30%+D68</f>
        <v>14.397933333333333</v>
      </c>
      <c r="I68" s="6"/>
      <c r="K68" s="110" t="s">
        <v>19</v>
      </c>
      <c r="L68" s="111"/>
      <c r="M68" s="111"/>
      <c r="N68" s="111"/>
      <c r="O68" s="111"/>
      <c r="P68" s="111"/>
      <c r="Q68" s="111"/>
      <c r="R68" s="112"/>
      <c r="S68" s="6"/>
    </row>
    <row r="69" spans="1:19" ht="16.2" thickBot="1" x14ac:dyDescent="0.35">
      <c r="A69" s="119" t="s">
        <v>22</v>
      </c>
      <c r="B69" s="120"/>
      <c r="C69" s="121"/>
      <c r="D69" s="122">
        <f>H68</f>
        <v>14.397933333333333</v>
      </c>
      <c r="E69" s="122"/>
      <c r="F69" s="123">
        <v>1.6</v>
      </c>
      <c r="G69" s="124"/>
      <c r="H69" s="25">
        <f>D69*F69</f>
        <v>23.036693333333332</v>
      </c>
      <c r="I69" s="6"/>
      <c r="K69" s="113" t="s">
        <v>20</v>
      </c>
      <c r="L69" s="114"/>
      <c r="M69" s="115"/>
      <c r="N69" s="150">
        <f>R66</f>
        <v>0.7</v>
      </c>
      <c r="O69" s="151"/>
      <c r="P69" s="117" t="s">
        <v>21</v>
      </c>
      <c r="Q69" s="118"/>
      <c r="R69" s="24">
        <f>N69*30%+N69</f>
        <v>0.90999999999999992</v>
      </c>
      <c r="S69" s="6"/>
    </row>
    <row r="70" spans="1:19" ht="16.2" thickBot="1" x14ac:dyDescent="0.35">
      <c r="A70" s="26"/>
      <c r="B70" s="26"/>
      <c r="C70" s="26"/>
      <c r="D70" s="27"/>
      <c r="E70" s="27"/>
      <c r="F70" s="22"/>
      <c r="G70" s="22"/>
      <c r="H70" s="28"/>
      <c r="I70" s="6"/>
      <c r="K70" s="119" t="s">
        <v>22</v>
      </c>
      <c r="L70" s="120"/>
      <c r="M70" s="121"/>
      <c r="N70" s="148">
        <f>R69</f>
        <v>0.90999999999999992</v>
      </c>
      <c r="O70" s="149"/>
      <c r="P70" s="123">
        <v>1.6</v>
      </c>
      <c r="Q70" s="124"/>
      <c r="R70" s="25">
        <f>N70*P70</f>
        <v>1.456</v>
      </c>
      <c r="S70" s="6"/>
    </row>
    <row r="71" spans="1:19" ht="16.2" thickBot="1" x14ac:dyDescent="0.35">
      <c r="A71" s="139" t="s">
        <v>23</v>
      </c>
      <c r="B71" s="140"/>
      <c r="C71" s="141"/>
      <c r="D71" s="205">
        <v>1</v>
      </c>
      <c r="E71" s="206"/>
      <c r="F71" s="207" t="s">
        <v>24</v>
      </c>
      <c r="G71" s="208"/>
      <c r="H71" s="29">
        <f>H69/D71</f>
        <v>23.036693333333332</v>
      </c>
      <c r="I71" s="6"/>
      <c r="K71" s="26"/>
      <c r="L71" s="26"/>
      <c r="M71" s="26"/>
      <c r="N71" s="27"/>
      <c r="O71" s="27"/>
      <c r="P71" s="22"/>
      <c r="Q71" s="22"/>
      <c r="R71" s="28"/>
      <c r="S71" s="6"/>
    </row>
    <row r="72" spans="1:19" ht="16.2" thickBot="1" x14ac:dyDescent="0.35">
      <c r="K72" s="139" t="s">
        <v>23</v>
      </c>
      <c r="L72" s="140"/>
      <c r="M72" s="141"/>
      <c r="N72" s="205">
        <v>1</v>
      </c>
      <c r="O72" s="206"/>
      <c r="P72" s="207" t="s">
        <v>24</v>
      </c>
      <c r="Q72" s="208"/>
      <c r="R72" s="29">
        <f>R70/N72</f>
        <v>1.456</v>
      </c>
      <c r="S72" s="6"/>
    </row>
    <row r="73" spans="1:19" x14ac:dyDescent="0.3">
      <c r="A73" s="125" t="s">
        <v>9</v>
      </c>
      <c r="B73" s="127" t="s">
        <v>10</v>
      </c>
      <c r="C73" s="127" t="s">
        <v>11</v>
      </c>
      <c r="D73" s="5" t="s">
        <v>12</v>
      </c>
      <c r="E73" s="129" t="s">
        <v>13</v>
      </c>
      <c r="F73" s="6"/>
      <c r="G73" s="131" t="s">
        <v>14</v>
      </c>
      <c r="H73" s="133" t="s">
        <v>15</v>
      </c>
      <c r="I73" s="227" t="s">
        <v>52</v>
      </c>
    </row>
    <row r="74" spans="1:19" x14ac:dyDescent="0.3">
      <c r="A74" s="126"/>
      <c r="B74" s="128"/>
      <c r="C74" s="128"/>
      <c r="D74" s="7" t="s">
        <v>16</v>
      </c>
      <c r="E74" s="130"/>
      <c r="F74" s="6"/>
      <c r="G74" s="132"/>
      <c r="H74" s="134"/>
      <c r="I74" s="227"/>
    </row>
    <row r="75" spans="1:19" x14ac:dyDescent="0.3">
      <c r="A75" s="8">
        <v>1</v>
      </c>
      <c r="B75" s="9" t="s">
        <v>46</v>
      </c>
      <c r="C75" s="10">
        <v>650</v>
      </c>
      <c r="D75" s="10">
        <v>1000</v>
      </c>
      <c r="E75" s="11">
        <f t="shared" ref="E75:E81" si="12">C75/D75</f>
        <v>0.65</v>
      </c>
      <c r="F75" s="6"/>
      <c r="G75" s="12">
        <v>18</v>
      </c>
      <c r="H75" s="13">
        <f t="shared" ref="H75:H81" si="13">G75*E75</f>
        <v>11.700000000000001</v>
      </c>
      <c r="I75" s="6"/>
    </row>
    <row r="76" spans="1:19" x14ac:dyDescent="0.3">
      <c r="A76" s="8">
        <v>2</v>
      </c>
      <c r="B76" s="9" t="s">
        <v>34</v>
      </c>
      <c r="C76" s="10">
        <v>4.5999999999999996</v>
      </c>
      <c r="D76" s="10">
        <v>1500</v>
      </c>
      <c r="E76" s="14">
        <f t="shared" si="12"/>
        <v>3.0666666666666663E-3</v>
      </c>
      <c r="F76" s="6"/>
      <c r="G76" s="12">
        <v>80</v>
      </c>
      <c r="H76" s="15">
        <f t="shared" si="13"/>
        <v>0.24533333333333329</v>
      </c>
      <c r="I76" s="6"/>
    </row>
    <row r="77" spans="1:19" x14ac:dyDescent="0.3">
      <c r="A77" s="8">
        <v>3</v>
      </c>
      <c r="B77" s="9"/>
      <c r="C77" s="10">
        <v>0</v>
      </c>
      <c r="D77" s="10">
        <v>2000</v>
      </c>
      <c r="E77" s="14">
        <f t="shared" si="12"/>
        <v>0</v>
      </c>
      <c r="F77" s="6"/>
      <c r="G77" s="12">
        <v>0</v>
      </c>
      <c r="H77" s="13">
        <f t="shared" si="13"/>
        <v>0</v>
      </c>
      <c r="I77" s="6"/>
    </row>
    <row r="78" spans="1:19" x14ac:dyDescent="0.3">
      <c r="A78" s="8">
        <v>4</v>
      </c>
      <c r="B78" s="9"/>
      <c r="C78" s="10">
        <v>0</v>
      </c>
      <c r="D78" s="10">
        <v>2000</v>
      </c>
      <c r="E78" s="14">
        <f t="shared" si="12"/>
        <v>0</v>
      </c>
      <c r="F78" s="6"/>
      <c r="G78" s="12">
        <v>0</v>
      </c>
      <c r="H78" s="13">
        <f t="shared" si="13"/>
        <v>0</v>
      </c>
      <c r="I78" s="6"/>
    </row>
    <row r="79" spans="1:19" x14ac:dyDescent="0.3">
      <c r="A79" s="8">
        <v>5</v>
      </c>
      <c r="B79" s="9" t="s">
        <v>35</v>
      </c>
      <c r="C79" s="10">
        <v>100</v>
      </c>
      <c r="D79" s="10">
        <v>50</v>
      </c>
      <c r="E79" s="14">
        <f t="shared" si="12"/>
        <v>2</v>
      </c>
      <c r="F79" s="6"/>
      <c r="G79" s="12">
        <v>1</v>
      </c>
      <c r="H79" s="13">
        <f t="shared" si="13"/>
        <v>2</v>
      </c>
      <c r="I79" s="6"/>
    </row>
    <row r="80" spans="1:19" x14ac:dyDescent="0.3">
      <c r="A80" s="8">
        <v>6</v>
      </c>
      <c r="B80" s="9" t="s">
        <v>29</v>
      </c>
      <c r="C80" s="10">
        <v>19</v>
      </c>
      <c r="D80" s="10">
        <v>100</v>
      </c>
      <c r="E80" s="14">
        <f t="shared" si="12"/>
        <v>0.19</v>
      </c>
      <c r="F80" s="6"/>
      <c r="G80" s="12">
        <v>1</v>
      </c>
      <c r="H80" s="13">
        <f t="shared" si="13"/>
        <v>0.19</v>
      </c>
      <c r="I80" s="6"/>
    </row>
    <row r="81" spans="1:9" x14ac:dyDescent="0.3">
      <c r="A81" s="8">
        <v>7</v>
      </c>
      <c r="B81" s="9"/>
      <c r="C81" s="10">
        <v>0</v>
      </c>
      <c r="D81" s="10">
        <v>100</v>
      </c>
      <c r="E81" s="14">
        <f t="shared" si="12"/>
        <v>0</v>
      </c>
      <c r="F81" s="6"/>
      <c r="G81" s="12">
        <v>1</v>
      </c>
      <c r="H81" s="13">
        <f t="shared" si="13"/>
        <v>0</v>
      </c>
      <c r="I81" s="6"/>
    </row>
    <row r="82" spans="1:9" x14ac:dyDescent="0.3">
      <c r="A82" s="8">
        <v>8</v>
      </c>
      <c r="B82" s="9"/>
      <c r="C82" s="10"/>
      <c r="D82" s="10"/>
      <c r="E82" s="14"/>
      <c r="F82" s="6"/>
      <c r="G82" s="12"/>
      <c r="H82" s="13"/>
      <c r="I82" s="6"/>
    </row>
    <row r="83" spans="1:9" x14ac:dyDescent="0.3">
      <c r="A83" s="8">
        <v>9</v>
      </c>
      <c r="B83" s="9"/>
      <c r="C83" s="10"/>
      <c r="D83" s="10"/>
      <c r="E83" s="14"/>
      <c r="F83" s="6"/>
      <c r="G83" s="12"/>
      <c r="H83" s="13"/>
      <c r="I83" s="6"/>
    </row>
    <row r="84" spans="1:9" ht="16.2" thickBot="1" x14ac:dyDescent="0.35">
      <c r="A84" s="16">
        <v>10</v>
      </c>
      <c r="B84" s="17"/>
      <c r="C84" s="18"/>
      <c r="D84" s="18"/>
      <c r="E84" s="19"/>
      <c r="F84" s="6"/>
      <c r="G84" s="12"/>
      <c r="H84" s="13"/>
      <c r="I84" s="6"/>
    </row>
    <row r="85" spans="1:9" ht="16.2" thickBot="1" x14ac:dyDescent="0.35">
      <c r="A85" s="6"/>
      <c r="B85" s="6"/>
      <c r="C85" s="6"/>
      <c r="D85" s="6"/>
      <c r="E85" s="6"/>
      <c r="F85" s="6"/>
      <c r="G85" s="20" t="s">
        <v>18</v>
      </c>
      <c r="H85" s="21">
        <f>SUM(H75:H84)</f>
        <v>14.135333333333334</v>
      </c>
      <c r="I85" s="6"/>
    </row>
    <row r="86" spans="1:9" ht="16.2" thickBot="1" x14ac:dyDescent="0.35">
      <c r="A86" s="6"/>
      <c r="B86" s="6"/>
      <c r="C86" s="6"/>
      <c r="D86" s="6"/>
      <c r="E86" s="6"/>
      <c r="F86" s="6"/>
      <c r="G86" s="22"/>
      <c r="H86" s="23"/>
      <c r="I86" s="6"/>
    </row>
    <row r="87" spans="1:9" x14ac:dyDescent="0.3">
      <c r="A87" s="110" t="s">
        <v>19</v>
      </c>
      <c r="B87" s="111"/>
      <c r="C87" s="111"/>
      <c r="D87" s="111"/>
      <c r="E87" s="111"/>
      <c r="F87" s="111"/>
      <c r="G87" s="111"/>
      <c r="H87" s="112"/>
      <c r="I87" s="6"/>
    </row>
    <row r="88" spans="1:9" x14ac:dyDescent="0.3">
      <c r="A88" s="113" t="s">
        <v>20</v>
      </c>
      <c r="B88" s="114"/>
      <c r="C88" s="115"/>
      <c r="D88" s="116">
        <f>H85</f>
        <v>14.135333333333334</v>
      </c>
      <c r="E88" s="116"/>
      <c r="F88" s="117" t="s">
        <v>21</v>
      </c>
      <c r="G88" s="118"/>
      <c r="H88" s="24">
        <f>D88*30%+D88</f>
        <v>18.375933333333332</v>
      </c>
      <c r="I88" s="6"/>
    </row>
    <row r="89" spans="1:9" ht="16.2" thickBot="1" x14ac:dyDescent="0.35">
      <c r="A89" s="119" t="s">
        <v>22</v>
      </c>
      <c r="B89" s="120"/>
      <c r="C89" s="121"/>
      <c r="D89" s="122">
        <f>H88</f>
        <v>18.375933333333332</v>
      </c>
      <c r="E89" s="122"/>
      <c r="F89" s="123">
        <v>1.6</v>
      </c>
      <c r="G89" s="124"/>
      <c r="H89" s="25">
        <f>D89*F89</f>
        <v>29.401493333333335</v>
      </c>
      <c r="I89" s="6"/>
    </row>
    <row r="90" spans="1:9" ht="16.2" thickBot="1" x14ac:dyDescent="0.35">
      <c r="A90" s="26"/>
      <c r="B90" s="26"/>
      <c r="C90" s="26"/>
      <c r="D90" s="27"/>
      <c r="E90" s="27"/>
      <c r="F90" s="22"/>
      <c r="G90" s="22"/>
      <c r="H90" s="28"/>
      <c r="I90" s="6"/>
    </row>
    <row r="91" spans="1:9" ht="16.2" thickBot="1" x14ac:dyDescent="0.35">
      <c r="A91" s="139" t="s">
        <v>23</v>
      </c>
      <c r="B91" s="140"/>
      <c r="C91" s="141"/>
      <c r="D91" s="205">
        <v>1</v>
      </c>
      <c r="E91" s="206"/>
      <c r="F91" s="207" t="s">
        <v>24</v>
      </c>
      <c r="G91" s="208"/>
      <c r="H91" s="29">
        <f>H89/D91</f>
        <v>29.401493333333335</v>
      </c>
      <c r="I91" s="6"/>
    </row>
    <row r="92" spans="1:9" ht="16.2" thickBot="1" x14ac:dyDescent="0.35"/>
    <row r="93" spans="1:9" x14ac:dyDescent="0.3">
      <c r="A93" s="125" t="s">
        <v>9</v>
      </c>
      <c r="B93" s="127" t="s">
        <v>10</v>
      </c>
      <c r="C93" s="127" t="s">
        <v>11</v>
      </c>
      <c r="D93" s="5" t="s">
        <v>12</v>
      </c>
      <c r="E93" s="129" t="s">
        <v>13</v>
      </c>
      <c r="F93" s="6"/>
      <c r="G93" s="131" t="s">
        <v>14</v>
      </c>
      <c r="H93" s="133" t="s">
        <v>15</v>
      </c>
      <c r="I93" s="227" t="s">
        <v>75</v>
      </c>
    </row>
    <row r="94" spans="1:9" x14ac:dyDescent="0.3">
      <c r="A94" s="126"/>
      <c r="B94" s="128"/>
      <c r="C94" s="128"/>
      <c r="D94" s="7" t="s">
        <v>16</v>
      </c>
      <c r="E94" s="130"/>
      <c r="F94" s="6"/>
      <c r="G94" s="132"/>
      <c r="H94" s="134"/>
      <c r="I94" s="227"/>
    </row>
    <row r="95" spans="1:9" x14ac:dyDescent="0.3">
      <c r="A95" s="8">
        <v>1</v>
      </c>
      <c r="B95" s="9" t="s">
        <v>76</v>
      </c>
      <c r="C95" s="10">
        <v>339</v>
      </c>
      <c r="D95" s="10">
        <v>250</v>
      </c>
      <c r="E95" s="11">
        <f t="shared" ref="E95:E101" si="14">C95/D95</f>
        <v>1.3560000000000001</v>
      </c>
      <c r="F95" s="6"/>
      <c r="G95" s="12">
        <v>18</v>
      </c>
      <c r="H95" s="13">
        <f t="shared" ref="H95:H101" si="15">G95*E95</f>
        <v>24.408000000000001</v>
      </c>
      <c r="I95" s="6"/>
    </row>
    <row r="96" spans="1:9" x14ac:dyDescent="0.3">
      <c r="A96" s="8">
        <v>2</v>
      </c>
      <c r="B96" s="9" t="s">
        <v>34</v>
      </c>
      <c r="C96" s="10">
        <v>4.5999999999999996</v>
      </c>
      <c r="D96" s="10">
        <v>1500</v>
      </c>
      <c r="E96" s="14">
        <f t="shared" si="14"/>
        <v>3.0666666666666663E-3</v>
      </c>
      <c r="F96" s="6"/>
      <c r="G96" s="12">
        <v>80</v>
      </c>
      <c r="H96" s="15">
        <f t="shared" si="15"/>
        <v>0.24533333333333329</v>
      </c>
      <c r="I96" s="6"/>
    </row>
    <row r="97" spans="1:9" x14ac:dyDescent="0.3">
      <c r="A97" s="8">
        <v>3</v>
      </c>
      <c r="B97" s="9"/>
      <c r="C97" s="10">
        <v>0</v>
      </c>
      <c r="D97" s="10">
        <v>2000</v>
      </c>
      <c r="E97" s="14">
        <f t="shared" si="14"/>
        <v>0</v>
      </c>
      <c r="F97" s="6"/>
      <c r="G97" s="12">
        <v>0</v>
      </c>
      <c r="H97" s="13">
        <f t="shared" si="15"/>
        <v>0</v>
      </c>
      <c r="I97" s="6"/>
    </row>
    <row r="98" spans="1:9" x14ac:dyDescent="0.3">
      <c r="A98" s="8">
        <v>4</v>
      </c>
      <c r="B98" s="9"/>
      <c r="C98" s="10">
        <v>0</v>
      </c>
      <c r="D98" s="10">
        <v>2000</v>
      </c>
      <c r="E98" s="14">
        <f t="shared" si="14"/>
        <v>0</v>
      </c>
      <c r="F98" s="6"/>
      <c r="G98" s="12">
        <v>0</v>
      </c>
      <c r="H98" s="13">
        <f t="shared" si="15"/>
        <v>0</v>
      </c>
      <c r="I98" s="6"/>
    </row>
    <row r="99" spans="1:9" x14ac:dyDescent="0.3">
      <c r="A99" s="8">
        <v>5</v>
      </c>
      <c r="B99" s="9" t="s">
        <v>35</v>
      </c>
      <c r="C99" s="10">
        <v>100</v>
      </c>
      <c r="D99" s="10">
        <v>50</v>
      </c>
      <c r="E99" s="14">
        <f t="shared" si="14"/>
        <v>2</v>
      </c>
      <c r="F99" s="6"/>
      <c r="G99" s="12">
        <v>1</v>
      </c>
      <c r="H99" s="13">
        <f t="shared" si="15"/>
        <v>2</v>
      </c>
      <c r="I99" s="6"/>
    </row>
    <row r="100" spans="1:9" x14ac:dyDescent="0.3">
      <c r="A100" s="8">
        <v>6</v>
      </c>
      <c r="B100" s="9" t="s">
        <v>29</v>
      </c>
      <c r="C100" s="10">
        <v>19</v>
      </c>
      <c r="D100" s="10">
        <v>100</v>
      </c>
      <c r="E100" s="14">
        <f t="shared" si="14"/>
        <v>0.19</v>
      </c>
      <c r="F100" s="6"/>
      <c r="G100" s="12">
        <v>1</v>
      </c>
      <c r="H100" s="13">
        <f t="shared" si="15"/>
        <v>0.19</v>
      </c>
      <c r="I100" s="6"/>
    </row>
    <row r="101" spans="1:9" x14ac:dyDescent="0.3">
      <c r="A101" s="8">
        <v>7</v>
      </c>
      <c r="B101" s="9"/>
      <c r="C101" s="10">
        <v>0</v>
      </c>
      <c r="D101" s="10">
        <v>100</v>
      </c>
      <c r="E101" s="14">
        <f t="shared" si="14"/>
        <v>0</v>
      </c>
      <c r="F101" s="6"/>
      <c r="G101" s="12">
        <v>1</v>
      </c>
      <c r="H101" s="13">
        <f t="shared" si="15"/>
        <v>0</v>
      </c>
      <c r="I101" s="6"/>
    </row>
    <row r="102" spans="1:9" x14ac:dyDescent="0.3">
      <c r="A102" s="8">
        <v>8</v>
      </c>
      <c r="B102" s="9"/>
      <c r="C102" s="10"/>
      <c r="D102" s="10"/>
      <c r="E102" s="14"/>
      <c r="F102" s="6"/>
      <c r="G102" s="12"/>
      <c r="H102" s="13"/>
      <c r="I102" s="6"/>
    </row>
    <row r="103" spans="1:9" x14ac:dyDescent="0.3">
      <c r="A103" s="8">
        <v>9</v>
      </c>
      <c r="B103" s="9"/>
      <c r="C103" s="10"/>
      <c r="D103" s="10"/>
      <c r="E103" s="14"/>
      <c r="F103" s="6"/>
      <c r="G103" s="12"/>
      <c r="H103" s="13"/>
      <c r="I103" s="6"/>
    </row>
    <row r="104" spans="1:9" ht="16.2" thickBot="1" x14ac:dyDescent="0.35">
      <c r="A104" s="16">
        <v>10</v>
      </c>
      <c r="B104" s="17"/>
      <c r="C104" s="18"/>
      <c r="D104" s="18"/>
      <c r="E104" s="19"/>
      <c r="F104" s="6"/>
      <c r="G104" s="12"/>
      <c r="H104" s="13"/>
      <c r="I104" s="6"/>
    </row>
    <row r="105" spans="1:9" ht="16.2" thickBot="1" x14ac:dyDescent="0.35">
      <c r="A105" s="6"/>
      <c r="B105" s="6"/>
      <c r="C105" s="6"/>
      <c r="D105" s="6"/>
      <c r="E105" s="6"/>
      <c r="F105" s="6"/>
      <c r="G105" s="20" t="s">
        <v>18</v>
      </c>
      <c r="H105" s="21">
        <f>SUM(H95:H104)</f>
        <v>26.843333333333337</v>
      </c>
      <c r="I105" s="6"/>
    </row>
    <row r="106" spans="1:9" ht="16.2" thickBot="1" x14ac:dyDescent="0.35">
      <c r="A106" s="6"/>
      <c r="B106" s="6"/>
      <c r="C106" s="6"/>
      <c r="D106" s="6"/>
      <c r="E106" s="6"/>
      <c r="F106" s="6"/>
      <c r="G106" s="22"/>
      <c r="H106" s="23"/>
      <c r="I106" s="6"/>
    </row>
    <row r="107" spans="1:9" x14ac:dyDescent="0.3">
      <c r="A107" s="110" t="s">
        <v>19</v>
      </c>
      <c r="B107" s="111"/>
      <c r="C107" s="111"/>
      <c r="D107" s="111"/>
      <c r="E107" s="111"/>
      <c r="F107" s="111"/>
      <c r="G107" s="111"/>
      <c r="H107" s="112"/>
      <c r="I107" s="6"/>
    </row>
    <row r="108" spans="1:9" x14ac:dyDescent="0.3">
      <c r="A108" s="113" t="s">
        <v>20</v>
      </c>
      <c r="B108" s="114"/>
      <c r="C108" s="115"/>
      <c r="D108" s="116">
        <f>H105</f>
        <v>26.843333333333337</v>
      </c>
      <c r="E108" s="116"/>
      <c r="F108" s="117" t="s">
        <v>21</v>
      </c>
      <c r="G108" s="118"/>
      <c r="H108" s="24">
        <f>D108*30%+D108</f>
        <v>34.896333333333338</v>
      </c>
      <c r="I108" s="6"/>
    </row>
    <row r="109" spans="1:9" ht="16.2" thickBot="1" x14ac:dyDescent="0.35">
      <c r="A109" s="119" t="s">
        <v>22</v>
      </c>
      <c r="B109" s="120"/>
      <c r="C109" s="121"/>
      <c r="D109" s="122">
        <f>H108</f>
        <v>34.896333333333338</v>
      </c>
      <c r="E109" s="122"/>
      <c r="F109" s="123">
        <v>1.6</v>
      </c>
      <c r="G109" s="124"/>
      <c r="H109" s="25">
        <f>D109*F109</f>
        <v>55.834133333333341</v>
      </c>
      <c r="I109" s="6"/>
    </row>
    <row r="110" spans="1:9" ht="16.2" thickBot="1" x14ac:dyDescent="0.35">
      <c r="A110" s="26"/>
      <c r="B110" s="26"/>
      <c r="C110" s="26"/>
      <c r="D110" s="27"/>
      <c r="E110" s="27"/>
      <c r="F110" s="22"/>
      <c r="G110" s="22"/>
      <c r="H110" s="28"/>
      <c r="I110" s="6"/>
    </row>
    <row r="111" spans="1:9" ht="16.2" thickBot="1" x14ac:dyDescent="0.35">
      <c r="A111" s="139" t="s">
        <v>23</v>
      </c>
      <c r="B111" s="140"/>
      <c r="C111" s="141"/>
      <c r="D111" s="205">
        <v>1</v>
      </c>
      <c r="E111" s="206"/>
      <c r="F111" s="207" t="s">
        <v>24</v>
      </c>
      <c r="G111" s="208"/>
      <c r="H111" s="29">
        <f>H109/D111</f>
        <v>55.834133333333341</v>
      </c>
      <c r="I111" s="6"/>
    </row>
    <row r="112" spans="1:9" ht="16.2" thickBot="1" x14ac:dyDescent="0.35"/>
    <row r="113" spans="1:18" x14ac:dyDescent="0.3">
      <c r="A113" s="125" t="s">
        <v>9</v>
      </c>
      <c r="B113" s="127" t="s">
        <v>10</v>
      </c>
      <c r="C113" s="127" t="s">
        <v>11</v>
      </c>
      <c r="D113" s="5" t="s">
        <v>12</v>
      </c>
      <c r="E113" s="129" t="s">
        <v>13</v>
      </c>
      <c r="F113" s="6"/>
      <c r="G113" s="131" t="s">
        <v>14</v>
      </c>
      <c r="H113" s="133" t="s">
        <v>15</v>
      </c>
      <c r="I113" s="211" t="s">
        <v>72</v>
      </c>
      <c r="J113" s="125" t="s">
        <v>9</v>
      </c>
      <c r="K113" s="127" t="s">
        <v>10</v>
      </c>
      <c r="L113" s="127" t="s">
        <v>11</v>
      </c>
      <c r="M113" s="5" t="s">
        <v>12</v>
      </c>
      <c r="N113" s="129" t="s">
        <v>13</v>
      </c>
      <c r="O113" s="6"/>
      <c r="P113" s="131" t="s">
        <v>14</v>
      </c>
      <c r="Q113" s="133" t="s">
        <v>15</v>
      </c>
      <c r="R113" s="211" t="s">
        <v>98</v>
      </c>
    </row>
    <row r="114" spans="1:18" x14ac:dyDescent="0.3">
      <c r="A114" s="126"/>
      <c r="B114" s="128"/>
      <c r="C114" s="128"/>
      <c r="D114" s="7" t="s">
        <v>16</v>
      </c>
      <c r="E114" s="130"/>
      <c r="F114" s="6"/>
      <c r="G114" s="132"/>
      <c r="H114" s="134"/>
      <c r="I114" s="211"/>
      <c r="J114" s="126"/>
      <c r="K114" s="128"/>
      <c r="L114" s="128"/>
      <c r="M114" s="7" t="s">
        <v>16</v>
      </c>
      <c r="N114" s="130"/>
      <c r="O114" s="6"/>
      <c r="P114" s="132"/>
      <c r="Q114" s="134"/>
      <c r="R114" s="211"/>
    </row>
    <row r="115" spans="1:18" x14ac:dyDescent="0.3">
      <c r="A115" s="8">
        <v>1</v>
      </c>
      <c r="B115" s="9" t="s">
        <v>57</v>
      </c>
      <c r="C115" s="10">
        <v>600</v>
      </c>
      <c r="D115" s="10">
        <v>1000</v>
      </c>
      <c r="E115" s="11">
        <f t="shared" ref="E115:E121" si="16">C115/D115</f>
        <v>0.6</v>
      </c>
      <c r="F115" s="6"/>
      <c r="G115" s="12">
        <v>18</v>
      </c>
      <c r="H115" s="13">
        <f t="shared" ref="H115:H121" si="17">G115*E115</f>
        <v>10.799999999999999</v>
      </c>
      <c r="I115" s="6"/>
      <c r="J115" s="8">
        <v>1</v>
      </c>
      <c r="K115" s="9" t="s">
        <v>94</v>
      </c>
      <c r="L115" s="10">
        <v>1000</v>
      </c>
      <c r="M115" s="10">
        <v>1000</v>
      </c>
      <c r="N115" s="11">
        <f t="shared" ref="N115:N121" si="18">L115/M115</f>
        <v>1</v>
      </c>
      <c r="O115" s="6"/>
      <c r="P115" s="12">
        <v>18</v>
      </c>
      <c r="Q115" s="13">
        <f t="shared" ref="Q115:Q121" si="19">P115*N115</f>
        <v>18</v>
      </c>
      <c r="R115" s="6"/>
    </row>
    <row r="116" spans="1:18" x14ac:dyDescent="0.3">
      <c r="A116" s="8">
        <v>2</v>
      </c>
      <c r="B116" s="9" t="s">
        <v>65</v>
      </c>
      <c r="C116" s="10">
        <v>4.5999999999999996</v>
      </c>
      <c r="D116" s="10">
        <v>1500</v>
      </c>
      <c r="E116" s="14">
        <f t="shared" si="16"/>
        <v>3.0666666666666663E-3</v>
      </c>
      <c r="F116" s="6"/>
      <c r="G116" s="12">
        <v>60</v>
      </c>
      <c r="H116" s="15">
        <f t="shared" si="17"/>
        <v>0.18399999999999997</v>
      </c>
      <c r="I116" s="6"/>
      <c r="J116" s="8">
        <v>2</v>
      </c>
      <c r="K116" s="9" t="s">
        <v>65</v>
      </c>
      <c r="L116" s="10">
        <v>4.5999999999999996</v>
      </c>
      <c r="M116" s="10">
        <v>1500</v>
      </c>
      <c r="N116" s="14">
        <f t="shared" si="18"/>
        <v>3.0666666666666663E-3</v>
      </c>
      <c r="O116" s="6"/>
      <c r="P116" s="12">
        <v>60</v>
      </c>
      <c r="Q116" s="15">
        <f t="shared" si="19"/>
        <v>0.18399999999999997</v>
      </c>
      <c r="R116" s="6"/>
    </row>
    <row r="117" spans="1:18" x14ac:dyDescent="0.3">
      <c r="A117" s="8">
        <v>3</v>
      </c>
      <c r="B117" s="9" t="s">
        <v>73</v>
      </c>
      <c r="C117" s="10">
        <v>225</v>
      </c>
      <c r="D117" s="10">
        <v>1000</v>
      </c>
      <c r="E117" s="14">
        <f t="shared" si="16"/>
        <v>0.22500000000000001</v>
      </c>
      <c r="F117" s="6"/>
      <c r="G117" s="12">
        <v>30</v>
      </c>
      <c r="H117" s="13">
        <f t="shared" si="17"/>
        <v>6.75</v>
      </c>
      <c r="I117" s="6"/>
      <c r="J117" s="8">
        <v>3</v>
      </c>
      <c r="K117" s="9" t="s">
        <v>73</v>
      </c>
      <c r="L117" s="10">
        <v>225</v>
      </c>
      <c r="M117" s="10">
        <v>1000</v>
      </c>
      <c r="N117" s="14">
        <f t="shared" si="18"/>
        <v>0.22500000000000001</v>
      </c>
      <c r="O117" s="6"/>
      <c r="P117" s="12">
        <v>25</v>
      </c>
      <c r="Q117" s="13">
        <f t="shared" si="19"/>
        <v>5.625</v>
      </c>
      <c r="R117" s="6"/>
    </row>
    <row r="118" spans="1:18" x14ac:dyDescent="0.3">
      <c r="A118" s="8">
        <v>4</v>
      </c>
      <c r="B118" s="9"/>
      <c r="C118" s="10">
        <v>0</v>
      </c>
      <c r="D118" s="10">
        <v>2000</v>
      </c>
      <c r="E118" s="14">
        <f t="shared" si="16"/>
        <v>0</v>
      </c>
      <c r="F118" s="6"/>
      <c r="G118" s="12">
        <v>0</v>
      </c>
      <c r="H118" s="13">
        <f t="shared" si="17"/>
        <v>0</v>
      </c>
      <c r="I118" s="6"/>
      <c r="J118" s="8">
        <v>4</v>
      </c>
      <c r="K118" s="9"/>
      <c r="L118" s="10">
        <v>0</v>
      </c>
      <c r="M118" s="10">
        <v>2000</v>
      </c>
      <c r="N118" s="14">
        <f t="shared" si="18"/>
        <v>0</v>
      </c>
      <c r="O118" s="6"/>
      <c r="P118" s="12">
        <v>0</v>
      </c>
      <c r="Q118" s="13">
        <f t="shared" si="19"/>
        <v>0</v>
      </c>
      <c r="R118" s="6"/>
    </row>
    <row r="119" spans="1:18" x14ac:dyDescent="0.3">
      <c r="A119" s="8">
        <v>5</v>
      </c>
      <c r="B119" s="9" t="s">
        <v>35</v>
      </c>
      <c r="C119" s="10">
        <v>100</v>
      </c>
      <c r="D119" s="10">
        <v>50</v>
      </c>
      <c r="E119" s="14">
        <f t="shared" si="16"/>
        <v>2</v>
      </c>
      <c r="F119" s="6"/>
      <c r="G119" s="12">
        <v>1</v>
      </c>
      <c r="H119" s="13">
        <f t="shared" si="17"/>
        <v>2</v>
      </c>
      <c r="I119" s="6"/>
      <c r="J119" s="8">
        <v>5</v>
      </c>
      <c r="K119" s="9" t="s">
        <v>35</v>
      </c>
      <c r="L119" s="10">
        <v>100</v>
      </c>
      <c r="M119" s="10">
        <v>50</v>
      </c>
      <c r="N119" s="14">
        <f t="shared" si="18"/>
        <v>2</v>
      </c>
      <c r="O119" s="6"/>
      <c r="P119" s="12">
        <v>1</v>
      </c>
      <c r="Q119" s="13">
        <f t="shared" si="19"/>
        <v>2</v>
      </c>
      <c r="R119" s="6"/>
    </row>
    <row r="120" spans="1:18" x14ac:dyDescent="0.3">
      <c r="A120" s="8">
        <v>6</v>
      </c>
      <c r="B120" s="9" t="s">
        <v>29</v>
      </c>
      <c r="C120" s="10">
        <v>19</v>
      </c>
      <c r="D120" s="10">
        <v>100</v>
      </c>
      <c r="E120" s="14">
        <f t="shared" si="16"/>
        <v>0.19</v>
      </c>
      <c r="F120" s="6"/>
      <c r="G120" s="12">
        <v>1</v>
      </c>
      <c r="H120" s="13">
        <f t="shared" si="17"/>
        <v>0.19</v>
      </c>
      <c r="I120" s="6"/>
      <c r="J120" s="8">
        <v>6</v>
      </c>
      <c r="K120" s="9" t="s">
        <v>29</v>
      </c>
      <c r="L120" s="10">
        <v>19</v>
      </c>
      <c r="M120" s="10">
        <v>100</v>
      </c>
      <c r="N120" s="14">
        <f t="shared" si="18"/>
        <v>0.19</v>
      </c>
      <c r="O120" s="6"/>
      <c r="P120" s="12">
        <v>1</v>
      </c>
      <c r="Q120" s="13">
        <f t="shared" si="19"/>
        <v>0.19</v>
      </c>
      <c r="R120" s="6"/>
    </row>
    <row r="121" spans="1:18" x14ac:dyDescent="0.3">
      <c r="A121" s="8">
        <v>7</v>
      </c>
      <c r="B121" s="9"/>
      <c r="C121" s="10">
        <v>0</v>
      </c>
      <c r="D121" s="10">
        <v>100</v>
      </c>
      <c r="E121" s="14">
        <f t="shared" si="16"/>
        <v>0</v>
      </c>
      <c r="F121" s="6"/>
      <c r="G121" s="12">
        <v>1</v>
      </c>
      <c r="H121" s="13">
        <f t="shared" si="17"/>
        <v>0</v>
      </c>
      <c r="I121" s="6"/>
      <c r="J121" s="8">
        <v>7</v>
      </c>
      <c r="K121" s="9"/>
      <c r="L121" s="10">
        <v>0</v>
      </c>
      <c r="M121" s="10">
        <v>100</v>
      </c>
      <c r="N121" s="14">
        <f t="shared" si="18"/>
        <v>0</v>
      </c>
      <c r="O121" s="6"/>
      <c r="P121" s="12">
        <v>1</v>
      </c>
      <c r="Q121" s="13">
        <f t="shared" si="19"/>
        <v>0</v>
      </c>
      <c r="R121" s="6"/>
    </row>
    <row r="122" spans="1:18" x14ac:dyDescent="0.3">
      <c r="A122" s="8">
        <v>8</v>
      </c>
      <c r="B122" s="9"/>
      <c r="C122" s="10"/>
      <c r="D122" s="10"/>
      <c r="E122" s="14"/>
      <c r="F122" s="6"/>
      <c r="G122" s="12"/>
      <c r="H122" s="13"/>
      <c r="I122" s="6"/>
      <c r="J122" s="8">
        <v>8</v>
      </c>
      <c r="K122" s="9"/>
      <c r="L122" s="10"/>
      <c r="M122" s="10"/>
      <c r="N122" s="14"/>
      <c r="O122" s="6"/>
      <c r="P122" s="12"/>
      <c r="Q122" s="13"/>
      <c r="R122" s="6"/>
    </row>
    <row r="123" spans="1:18" x14ac:dyDescent="0.3">
      <c r="A123" s="8">
        <v>9</v>
      </c>
      <c r="B123" s="9"/>
      <c r="C123" s="10"/>
      <c r="D123" s="10"/>
      <c r="E123" s="14"/>
      <c r="F123" s="6"/>
      <c r="G123" s="12"/>
      <c r="H123" s="13"/>
      <c r="I123" s="6"/>
      <c r="J123" s="8">
        <v>9</v>
      </c>
      <c r="K123" s="9"/>
      <c r="L123" s="10"/>
      <c r="M123" s="10"/>
      <c r="N123" s="14"/>
      <c r="O123" s="6"/>
      <c r="P123" s="12"/>
      <c r="Q123" s="13"/>
      <c r="R123" s="6"/>
    </row>
    <row r="124" spans="1:18" ht="16.2" thickBot="1" x14ac:dyDescent="0.35">
      <c r="A124" s="16">
        <v>10</v>
      </c>
      <c r="B124" s="17"/>
      <c r="C124" s="18"/>
      <c r="D124" s="18"/>
      <c r="E124" s="19"/>
      <c r="F124" s="6"/>
      <c r="G124" s="12"/>
      <c r="H124" s="13"/>
      <c r="I124" s="6"/>
      <c r="J124" s="16">
        <v>10</v>
      </c>
      <c r="K124" s="17"/>
      <c r="L124" s="18"/>
      <c r="M124" s="18"/>
      <c r="N124" s="19"/>
      <c r="O124" s="6"/>
      <c r="P124" s="12"/>
      <c r="Q124" s="13"/>
      <c r="R124" s="6"/>
    </row>
    <row r="125" spans="1:18" ht="16.2" thickBot="1" x14ac:dyDescent="0.35">
      <c r="A125" s="6"/>
      <c r="B125" s="6"/>
      <c r="C125" s="6"/>
      <c r="D125" s="6"/>
      <c r="E125" s="6"/>
      <c r="F125" s="6"/>
      <c r="G125" s="20" t="s">
        <v>18</v>
      </c>
      <c r="H125" s="21">
        <f>SUM(H115:H124)</f>
        <v>19.923999999999999</v>
      </c>
      <c r="I125" s="6"/>
      <c r="J125" s="6"/>
      <c r="K125" s="6"/>
      <c r="L125" s="6"/>
      <c r="M125" s="6"/>
      <c r="N125" s="6"/>
      <c r="O125" s="6"/>
      <c r="P125" s="20" t="s">
        <v>18</v>
      </c>
      <c r="Q125" s="21">
        <f>SUM(Q115:Q124)</f>
        <v>25.999000000000002</v>
      </c>
      <c r="R125" s="6"/>
    </row>
    <row r="126" spans="1:18" ht="16.2" thickBot="1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x14ac:dyDescent="0.3">
      <c r="A127" s="110" t="s">
        <v>19</v>
      </c>
      <c r="B127" s="111"/>
      <c r="C127" s="111"/>
      <c r="D127" s="111"/>
      <c r="E127" s="111"/>
      <c r="F127" s="111"/>
      <c r="G127" s="111"/>
      <c r="H127" s="112"/>
      <c r="I127" s="6"/>
      <c r="J127" s="110" t="s">
        <v>19</v>
      </c>
      <c r="K127" s="111"/>
      <c r="L127" s="111"/>
      <c r="M127" s="111"/>
      <c r="N127" s="111"/>
      <c r="O127" s="111"/>
      <c r="P127" s="111"/>
      <c r="Q127" s="112"/>
      <c r="R127" s="6"/>
    </row>
    <row r="128" spans="1:18" x14ac:dyDescent="0.3">
      <c r="A128" s="113" t="s">
        <v>20</v>
      </c>
      <c r="B128" s="114"/>
      <c r="C128" s="115"/>
      <c r="D128" s="116">
        <f>H125</f>
        <v>19.923999999999999</v>
      </c>
      <c r="E128" s="116"/>
      <c r="F128" s="117" t="s">
        <v>21</v>
      </c>
      <c r="G128" s="118"/>
      <c r="H128" s="24">
        <f>D128*30%+D128</f>
        <v>25.901199999999999</v>
      </c>
      <c r="I128" s="6"/>
      <c r="J128" s="113" t="s">
        <v>20</v>
      </c>
      <c r="K128" s="114"/>
      <c r="L128" s="115"/>
      <c r="M128" s="116">
        <f>Q125</f>
        <v>25.999000000000002</v>
      </c>
      <c r="N128" s="116"/>
      <c r="O128" s="117" t="s">
        <v>21</v>
      </c>
      <c r="P128" s="118"/>
      <c r="Q128" s="24">
        <f>M128*30%+M128</f>
        <v>33.798700000000004</v>
      </c>
      <c r="R128" s="6"/>
    </row>
    <row r="129" spans="1:18" ht="16.2" thickBot="1" x14ac:dyDescent="0.35">
      <c r="A129" s="119" t="s">
        <v>22</v>
      </c>
      <c r="B129" s="120"/>
      <c r="C129" s="121"/>
      <c r="D129" s="122">
        <f>H128</f>
        <v>25.901199999999999</v>
      </c>
      <c r="E129" s="122"/>
      <c r="F129" s="123">
        <v>1.6</v>
      </c>
      <c r="G129" s="124"/>
      <c r="H129" s="25">
        <f>D129*F129</f>
        <v>41.441920000000003</v>
      </c>
      <c r="I129" s="6"/>
      <c r="J129" s="119" t="s">
        <v>22</v>
      </c>
      <c r="K129" s="120"/>
      <c r="L129" s="121"/>
      <c r="M129" s="122">
        <f>Q128</f>
        <v>33.798700000000004</v>
      </c>
      <c r="N129" s="122"/>
      <c r="O129" s="123">
        <v>1.6</v>
      </c>
      <c r="P129" s="124"/>
      <c r="Q129" s="25">
        <f>M129*O129</f>
        <v>54.077920000000006</v>
      </c>
      <c r="R129" s="6"/>
    </row>
    <row r="130" spans="1:18" ht="16.2" thickBot="1" x14ac:dyDescent="0.35">
      <c r="A130" s="26"/>
      <c r="B130" s="26"/>
      <c r="C130" s="26"/>
      <c r="D130" s="27"/>
      <c r="E130" s="27"/>
      <c r="F130" s="22"/>
      <c r="G130" s="22"/>
      <c r="H130" s="28"/>
      <c r="I130" s="6"/>
      <c r="J130" s="26"/>
      <c r="K130" s="26"/>
      <c r="L130" s="26"/>
      <c r="M130" s="27"/>
      <c r="N130" s="27"/>
      <c r="O130" s="22"/>
      <c r="P130" s="22"/>
      <c r="Q130" s="28"/>
      <c r="R130" s="6"/>
    </row>
    <row r="131" spans="1:18" ht="16.2" thickBot="1" x14ac:dyDescent="0.35">
      <c r="A131" s="139" t="s">
        <v>23</v>
      </c>
      <c r="B131" s="140"/>
      <c r="C131" s="141"/>
      <c r="D131" s="205">
        <v>1</v>
      </c>
      <c r="E131" s="206"/>
      <c r="F131" s="207" t="s">
        <v>24</v>
      </c>
      <c r="G131" s="208"/>
      <c r="H131" s="29">
        <f>H129/D131</f>
        <v>41.441920000000003</v>
      </c>
      <c r="I131" s="6"/>
      <c r="J131" s="139" t="s">
        <v>23</v>
      </c>
      <c r="K131" s="140"/>
      <c r="L131" s="141"/>
      <c r="M131" s="205">
        <v>1</v>
      </c>
      <c r="N131" s="206"/>
      <c r="O131" s="207" t="s">
        <v>24</v>
      </c>
      <c r="P131" s="208"/>
      <c r="Q131" s="29">
        <f>Q129/M131</f>
        <v>54.077920000000006</v>
      </c>
      <c r="R131" s="6"/>
    </row>
    <row r="132" spans="1:18" ht="16.2" thickBot="1" x14ac:dyDescent="0.35">
      <c r="A132" s="6"/>
      <c r="B132" s="6"/>
      <c r="C132" s="6"/>
      <c r="D132" s="6"/>
      <c r="E132" s="6"/>
      <c r="F132" s="6"/>
      <c r="G132" s="6"/>
      <c r="H132" s="6"/>
      <c r="I132" s="6"/>
    </row>
    <row r="133" spans="1:18" x14ac:dyDescent="0.3">
      <c r="A133" s="125" t="s">
        <v>9</v>
      </c>
      <c r="B133" s="127" t="s">
        <v>10</v>
      </c>
      <c r="C133" s="127" t="s">
        <v>11</v>
      </c>
      <c r="D133" s="5" t="s">
        <v>12</v>
      </c>
      <c r="E133" s="129" t="s">
        <v>13</v>
      </c>
      <c r="F133" s="6"/>
      <c r="G133" s="131" t="s">
        <v>14</v>
      </c>
      <c r="H133" s="133" t="s">
        <v>15</v>
      </c>
      <c r="I133" s="211" t="s">
        <v>74</v>
      </c>
    </row>
    <row r="134" spans="1:18" x14ac:dyDescent="0.3">
      <c r="A134" s="126"/>
      <c r="B134" s="128"/>
      <c r="C134" s="128"/>
      <c r="D134" s="7" t="s">
        <v>16</v>
      </c>
      <c r="E134" s="130"/>
      <c r="F134" s="6"/>
      <c r="G134" s="132"/>
      <c r="H134" s="134"/>
      <c r="I134" s="211"/>
    </row>
    <row r="135" spans="1:18" x14ac:dyDescent="0.3">
      <c r="A135" s="8">
        <v>1</v>
      </c>
      <c r="B135" s="9" t="s">
        <v>57</v>
      </c>
      <c r="C135" s="10">
        <v>600</v>
      </c>
      <c r="D135" s="10">
        <v>1000</v>
      </c>
      <c r="E135" s="11">
        <f t="shared" ref="E135:E141" si="20">C135/D135</f>
        <v>0.6</v>
      </c>
      <c r="F135" s="6"/>
      <c r="G135" s="12">
        <v>18</v>
      </c>
      <c r="H135" s="13">
        <f t="shared" ref="H135:H141" si="21">G135*E135</f>
        <v>10.799999999999999</v>
      </c>
      <c r="I135" s="6"/>
    </row>
    <row r="136" spans="1:18" x14ac:dyDescent="0.3">
      <c r="A136" s="8">
        <v>2</v>
      </c>
      <c r="B136" s="9" t="s">
        <v>65</v>
      </c>
      <c r="C136" s="10">
        <v>4.5999999999999996</v>
      </c>
      <c r="D136" s="10">
        <v>1500</v>
      </c>
      <c r="E136" s="14">
        <f t="shared" si="20"/>
        <v>3.0666666666666663E-3</v>
      </c>
      <c r="F136" s="6"/>
      <c r="G136" s="12">
        <v>60</v>
      </c>
      <c r="H136" s="15">
        <f t="shared" si="21"/>
        <v>0.18399999999999997</v>
      </c>
      <c r="I136" s="6"/>
    </row>
    <row r="137" spans="1:18" x14ac:dyDescent="0.3">
      <c r="A137" s="8">
        <v>3</v>
      </c>
      <c r="B137" s="9" t="s">
        <v>73</v>
      </c>
      <c r="C137" s="10">
        <v>225</v>
      </c>
      <c r="D137" s="10">
        <v>1000</v>
      </c>
      <c r="E137" s="14">
        <f t="shared" si="20"/>
        <v>0.22500000000000001</v>
      </c>
      <c r="F137" s="6"/>
      <c r="G137" s="12">
        <v>25</v>
      </c>
      <c r="H137" s="13">
        <f t="shared" si="21"/>
        <v>5.625</v>
      </c>
      <c r="I137" s="6"/>
    </row>
    <row r="138" spans="1:18" x14ac:dyDescent="0.3">
      <c r="A138" s="8">
        <v>4</v>
      </c>
      <c r="B138" s="9" t="s">
        <v>71</v>
      </c>
      <c r="C138" s="10">
        <v>25</v>
      </c>
      <c r="D138" s="10">
        <v>67</v>
      </c>
      <c r="E138" s="14">
        <f t="shared" si="20"/>
        <v>0.37313432835820898</v>
      </c>
      <c r="F138" s="6"/>
      <c r="G138" s="12">
        <v>5</v>
      </c>
      <c r="H138" s="13">
        <f t="shared" si="21"/>
        <v>1.8656716417910448</v>
      </c>
      <c r="I138" s="6"/>
    </row>
    <row r="139" spans="1:18" x14ac:dyDescent="0.3">
      <c r="A139" s="8">
        <v>5</v>
      </c>
      <c r="B139" s="9" t="s">
        <v>35</v>
      </c>
      <c r="C139" s="10">
        <v>100</v>
      </c>
      <c r="D139" s="10">
        <v>50</v>
      </c>
      <c r="E139" s="14">
        <f t="shared" si="20"/>
        <v>2</v>
      </c>
      <c r="F139" s="6"/>
      <c r="G139" s="12">
        <v>1</v>
      </c>
      <c r="H139" s="13">
        <f t="shared" si="21"/>
        <v>2</v>
      </c>
      <c r="I139" s="6"/>
    </row>
    <row r="140" spans="1:18" x14ac:dyDescent="0.3">
      <c r="A140" s="8">
        <v>6</v>
      </c>
      <c r="B140" s="9" t="s">
        <v>29</v>
      </c>
      <c r="C140" s="10">
        <v>19</v>
      </c>
      <c r="D140" s="10">
        <v>100</v>
      </c>
      <c r="E140" s="14">
        <f t="shared" si="20"/>
        <v>0.19</v>
      </c>
      <c r="F140" s="6"/>
      <c r="G140" s="12">
        <v>1</v>
      </c>
      <c r="H140" s="13">
        <f t="shared" si="21"/>
        <v>0.19</v>
      </c>
      <c r="I140" s="6"/>
    </row>
    <row r="141" spans="1:18" x14ac:dyDescent="0.3">
      <c r="A141" s="8">
        <v>7</v>
      </c>
      <c r="B141" s="9"/>
      <c r="C141" s="10">
        <v>0</v>
      </c>
      <c r="D141" s="10">
        <v>100</v>
      </c>
      <c r="E141" s="14">
        <f t="shared" si="20"/>
        <v>0</v>
      </c>
      <c r="F141" s="6"/>
      <c r="G141" s="12">
        <v>1</v>
      </c>
      <c r="H141" s="13">
        <f t="shared" si="21"/>
        <v>0</v>
      </c>
      <c r="I141" s="6"/>
    </row>
    <row r="142" spans="1:18" x14ac:dyDescent="0.3">
      <c r="A142" s="8">
        <v>8</v>
      </c>
      <c r="B142" s="9"/>
      <c r="C142" s="10"/>
      <c r="D142" s="10"/>
      <c r="E142" s="14"/>
      <c r="F142" s="6"/>
      <c r="G142" s="12"/>
      <c r="H142" s="13"/>
      <c r="I142" s="6"/>
    </row>
    <row r="143" spans="1:18" x14ac:dyDescent="0.3">
      <c r="A143" s="8">
        <v>9</v>
      </c>
      <c r="B143" s="9"/>
      <c r="C143" s="10"/>
      <c r="D143" s="10"/>
      <c r="E143" s="14"/>
      <c r="F143" s="6"/>
      <c r="G143" s="12"/>
      <c r="H143" s="13"/>
      <c r="I143" s="6"/>
    </row>
    <row r="144" spans="1:18" ht="16.2" thickBot="1" x14ac:dyDescent="0.35">
      <c r="A144" s="16">
        <v>10</v>
      </c>
      <c r="B144" s="17"/>
      <c r="C144" s="18"/>
      <c r="D144" s="18"/>
      <c r="E144" s="19"/>
      <c r="F144" s="6"/>
      <c r="G144" s="12"/>
      <c r="H144" s="13"/>
      <c r="I144" s="6"/>
    </row>
    <row r="145" spans="1:9" ht="16.2" thickBot="1" x14ac:dyDescent="0.35">
      <c r="A145" s="6"/>
      <c r="B145" s="6"/>
      <c r="C145" s="6"/>
      <c r="D145" s="6"/>
      <c r="E145" s="6"/>
      <c r="F145" s="6"/>
      <c r="G145" s="20" t="s">
        <v>18</v>
      </c>
      <c r="H145" s="21">
        <f>SUM(H135:H144)</f>
        <v>20.664671641791045</v>
      </c>
      <c r="I145" s="6"/>
    </row>
    <row r="146" spans="1:9" ht="16.2" thickBot="1" x14ac:dyDescent="0.35">
      <c r="A146" s="6"/>
      <c r="B146" s="6"/>
      <c r="C146" s="6"/>
      <c r="D146" s="6"/>
      <c r="E146" s="6"/>
      <c r="F146" s="6"/>
      <c r="G146" s="6"/>
      <c r="H146" s="6"/>
      <c r="I146" s="6"/>
    </row>
    <row r="147" spans="1:9" x14ac:dyDescent="0.3">
      <c r="A147" s="110" t="s">
        <v>19</v>
      </c>
      <c r="B147" s="111"/>
      <c r="C147" s="111"/>
      <c r="D147" s="111"/>
      <c r="E147" s="111"/>
      <c r="F147" s="111"/>
      <c r="G147" s="111"/>
      <c r="H147" s="112"/>
      <c r="I147" s="6"/>
    </row>
    <row r="148" spans="1:9" x14ac:dyDescent="0.3">
      <c r="A148" s="113" t="s">
        <v>20</v>
      </c>
      <c r="B148" s="114"/>
      <c r="C148" s="115"/>
      <c r="D148" s="116">
        <f>H145</f>
        <v>20.664671641791045</v>
      </c>
      <c r="E148" s="116"/>
      <c r="F148" s="117" t="s">
        <v>21</v>
      </c>
      <c r="G148" s="118"/>
      <c r="H148" s="24">
        <f>D148*30%+D148</f>
        <v>26.864073134328358</v>
      </c>
      <c r="I148" s="6"/>
    </row>
    <row r="149" spans="1:9" ht="16.2" thickBot="1" x14ac:dyDescent="0.35">
      <c r="A149" s="119" t="s">
        <v>22</v>
      </c>
      <c r="B149" s="120"/>
      <c r="C149" s="121"/>
      <c r="D149" s="122">
        <f>H148</f>
        <v>26.864073134328358</v>
      </c>
      <c r="E149" s="122"/>
      <c r="F149" s="123">
        <v>1.6</v>
      </c>
      <c r="G149" s="124"/>
      <c r="H149" s="25">
        <f>D149*F149</f>
        <v>42.982517014925378</v>
      </c>
      <c r="I149" s="6"/>
    </row>
    <row r="150" spans="1:9" ht="16.2" thickBot="1" x14ac:dyDescent="0.35">
      <c r="A150" s="26"/>
      <c r="B150" s="26"/>
      <c r="C150" s="26"/>
      <c r="D150" s="27"/>
      <c r="E150" s="27"/>
      <c r="F150" s="22"/>
      <c r="G150" s="22"/>
      <c r="H150" s="28"/>
      <c r="I150" s="6"/>
    </row>
    <row r="151" spans="1:9" ht="16.2" thickBot="1" x14ac:dyDescent="0.35">
      <c r="A151" s="139" t="s">
        <v>23</v>
      </c>
      <c r="B151" s="140"/>
      <c r="C151" s="141"/>
      <c r="D151" s="205">
        <v>1</v>
      </c>
      <c r="E151" s="206"/>
      <c r="F151" s="207" t="s">
        <v>24</v>
      </c>
      <c r="G151" s="208"/>
      <c r="H151" s="29">
        <f>H149/D151</f>
        <v>42.982517014925378</v>
      </c>
      <c r="I151" s="6"/>
    </row>
    <row r="152" spans="1:9" ht="16.2" thickBot="1" x14ac:dyDescent="0.35"/>
    <row r="153" spans="1:9" x14ac:dyDescent="0.3">
      <c r="A153" s="125" t="s">
        <v>9</v>
      </c>
      <c r="B153" s="127" t="s">
        <v>10</v>
      </c>
      <c r="C153" s="127" t="s">
        <v>11</v>
      </c>
      <c r="D153" s="5" t="s">
        <v>12</v>
      </c>
      <c r="E153" s="129" t="s">
        <v>13</v>
      </c>
      <c r="F153" s="6"/>
      <c r="G153" s="131" t="s">
        <v>14</v>
      </c>
      <c r="H153" s="133" t="s">
        <v>15</v>
      </c>
      <c r="I153" s="211" t="s">
        <v>36</v>
      </c>
    </row>
    <row r="154" spans="1:9" x14ac:dyDescent="0.3">
      <c r="A154" s="126"/>
      <c r="B154" s="128"/>
      <c r="C154" s="128"/>
      <c r="D154" s="7" t="s">
        <v>16</v>
      </c>
      <c r="E154" s="130"/>
      <c r="F154" s="6"/>
      <c r="G154" s="132"/>
      <c r="H154" s="134"/>
      <c r="I154" s="211"/>
    </row>
    <row r="155" spans="1:9" x14ac:dyDescent="0.3">
      <c r="A155" s="8">
        <v>1</v>
      </c>
      <c r="B155" s="9" t="s">
        <v>57</v>
      </c>
      <c r="C155" s="10">
        <v>600</v>
      </c>
      <c r="D155" s="10">
        <v>1000</v>
      </c>
      <c r="E155" s="11">
        <f t="shared" ref="E155:E161" si="22">C155/D155</f>
        <v>0.6</v>
      </c>
      <c r="F155" s="6"/>
      <c r="G155" s="12">
        <v>18</v>
      </c>
      <c r="H155" s="13">
        <f t="shared" ref="H155:H161" si="23">G155*E155</f>
        <v>10.799999999999999</v>
      </c>
      <c r="I155" s="6"/>
    </row>
    <row r="156" spans="1:9" x14ac:dyDescent="0.3">
      <c r="A156" s="8">
        <v>2</v>
      </c>
      <c r="B156" s="9" t="s">
        <v>34</v>
      </c>
      <c r="C156" s="10">
        <v>4.5999999999999996</v>
      </c>
      <c r="D156" s="10">
        <v>1500</v>
      </c>
      <c r="E156" s="14">
        <f t="shared" si="22"/>
        <v>3.0666666666666663E-3</v>
      </c>
      <c r="F156" s="6"/>
      <c r="G156" s="12">
        <v>100</v>
      </c>
      <c r="H156" s="15">
        <f t="shared" si="23"/>
        <v>0.30666666666666664</v>
      </c>
      <c r="I156" s="6"/>
    </row>
    <row r="157" spans="1:9" x14ac:dyDescent="0.3">
      <c r="A157" s="8">
        <v>3</v>
      </c>
      <c r="B157" s="9" t="s">
        <v>37</v>
      </c>
      <c r="C157" s="10">
        <v>219</v>
      </c>
      <c r="D157" s="10">
        <v>1000</v>
      </c>
      <c r="E157" s="14">
        <f t="shared" si="22"/>
        <v>0.219</v>
      </c>
      <c r="F157" s="6"/>
      <c r="G157" s="12">
        <v>25</v>
      </c>
      <c r="H157" s="13">
        <f t="shared" si="23"/>
        <v>5.4749999999999996</v>
      </c>
      <c r="I157" s="6"/>
    </row>
    <row r="158" spans="1:9" x14ac:dyDescent="0.3">
      <c r="A158" s="8">
        <v>4</v>
      </c>
      <c r="B158" s="9"/>
      <c r="C158" s="10">
        <v>0</v>
      </c>
      <c r="D158" s="10">
        <v>2000</v>
      </c>
      <c r="E158" s="14">
        <f t="shared" si="22"/>
        <v>0</v>
      </c>
      <c r="F158" s="6"/>
      <c r="G158" s="12">
        <v>0</v>
      </c>
      <c r="H158" s="13">
        <f t="shared" si="23"/>
        <v>0</v>
      </c>
      <c r="I158" s="6"/>
    </row>
    <row r="159" spans="1:9" x14ac:dyDescent="0.3">
      <c r="A159" s="8">
        <v>5</v>
      </c>
      <c r="B159" s="9" t="s">
        <v>35</v>
      </c>
      <c r="C159" s="10">
        <v>100</v>
      </c>
      <c r="D159" s="10">
        <v>50</v>
      </c>
      <c r="E159" s="14">
        <f t="shared" si="22"/>
        <v>2</v>
      </c>
      <c r="F159" s="6"/>
      <c r="G159" s="12">
        <v>1</v>
      </c>
      <c r="H159" s="13">
        <f t="shared" si="23"/>
        <v>2</v>
      </c>
      <c r="I159" s="6"/>
    </row>
    <row r="160" spans="1:9" x14ac:dyDescent="0.3">
      <c r="A160" s="8">
        <v>6</v>
      </c>
      <c r="B160" s="9" t="s">
        <v>29</v>
      </c>
      <c r="C160" s="10">
        <v>19</v>
      </c>
      <c r="D160" s="10">
        <v>100</v>
      </c>
      <c r="E160" s="14">
        <f t="shared" si="22"/>
        <v>0.19</v>
      </c>
      <c r="F160" s="6"/>
      <c r="G160" s="12">
        <v>1</v>
      </c>
      <c r="H160" s="13">
        <f t="shared" si="23"/>
        <v>0.19</v>
      </c>
      <c r="I160" s="6"/>
    </row>
    <row r="161" spans="1:9" x14ac:dyDescent="0.3">
      <c r="A161" s="8">
        <v>7</v>
      </c>
      <c r="B161" s="9"/>
      <c r="C161" s="10">
        <v>0</v>
      </c>
      <c r="D161" s="10">
        <v>100</v>
      </c>
      <c r="E161" s="14">
        <f t="shared" si="22"/>
        <v>0</v>
      </c>
      <c r="F161" s="6"/>
      <c r="G161" s="12">
        <v>0</v>
      </c>
      <c r="H161" s="13">
        <f t="shared" si="23"/>
        <v>0</v>
      </c>
      <c r="I161" s="6"/>
    </row>
    <row r="162" spans="1:9" x14ac:dyDescent="0.3">
      <c r="A162" s="8">
        <v>8</v>
      </c>
      <c r="B162" s="9"/>
      <c r="C162" s="10"/>
      <c r="D162" s="10"/>
      <c r="E162" s="14"/>
      <c r="F162" s="6"/>
      <c r="G162" s="12"/>
      <c r="H162" s="13"/>
      <c r="I162" s="6"/>
    </row>
    <row r="163" spans="1:9" x14ac:dyDescent="0.3">
      <c r="A163" s="8">
        <v>9</v>
      </c>
      <c r="B163" s="9"/>
      <c r="C163" s="10"/>
      <c r="D163" s="10"/>
      <c r="E163" s="14"/>
      <c r="F163" s="6"/>
      <c r="G163" s="12"/>
      <c r="H163" s="13"/>
      <c r="I163" s="6"/>
    </row>
    <row r="164" spans="1:9" ht="16.2" thickBot="1" x14ac:dyDescent="0.35">
      <c r="A164" s="16">
        <v>10</v>
      </c>
      <c r="B164" s="17"/>
      <c r="C164" s="18"/>
      <c r="D164" s="18"/>
      <c r="E164" s="19"/>
      <c r="F164" s="6"/>
      <c r="G164" s="12"/>
      <c r="H164" s="13"/>
      <c r="I164" s="6"/>
    </row>
    <row r="165" spans="1:9" ht="16.2" thickBot="1" x14ac:dyDescent="0.35">
      <c r="A165" s="6"/>
      <c r="B165" s="6"/>
      <c r="C165" s="6"/>
      <c r="D165" s="6"/>
      <c r="E165" s="6"/>
      <c r="F165" s="6"/>
      <c r="G165" s="20" t="s">
        <v>18</v>
      </c>
      <c r="H165" s="21">
        <f>SUM(H155:H164)</f>
        <v>18.771666666666665</v>
      </c>
      <c r="I165" s="6"/>
    </row>
    <row r="166" spans="1:9" ht="16.2" thickBot="1" x14ac:dyDescent="0.35">
      <c r="A166" s="6"/>
      <c r="B166" s="6"/>
      <c r="C166" s="6"/>
      <c r="D166" s="6"/>
      <c r="E166" s="6"/>
      <c r="F166" s="6"/>
      <c r="G166" s="22"/>
      <c r="H166" s="23"/>
      <c r="I166" s="6"/>
    </row>
    <row r="167" spans="1:9" x14ac:dyDescent="0.3">
      <c r="A167" s="110" t="s">
        <v>19</v>
      </c>
      <c r="B167" s="111"/>
      <c r="C167" s="111"/>
      <c r="D167" s="111"/>
      <c r="E167" s="111"/>
      <c r="F167" s="111"/>
      <c r="G167" s="111"/>
      <c r="H167" s="112"/>
      <c r="I167" s="6"/>
    </row>
    <row r="168" spans="1:9" x14ac:dyDescent="0.3">
      <c r="A168" s="113" t="s">
        <v>20</v>
      </c>
      <c r="B168" s="114"/>
      <c r="C168" s="115"/>
      <c r="D168" s="116">
        <f>H165</f>
        <v>18.771666666666665</v>
      </c>
      <c r="E168" s="116"/>
      <c r="F168" s="117" t="s">
        <v>21</v>
      </c>
      <c r="G168" s="118"/>
      <c r="H168" s="24">
        <f>D168*30%+D168</f>
        <v>24.403166666666664</v>
      </c>
      <c r="I168" s="6"/>
    </row>
    <row r="169" spans="1:9" ht="16.2" thickBot="1" x14ac:dyDescent="0.35">
      <c r="A169" s="119" t="s">
        <v>22</v>
      </c>
      <c r="B169" s="120"/>
      <c r="C169" s="121"/>
      <c r="D169" s="122">
        <f>H168</f>
        <v>24.403166666666664</v>
      </c>
      <c r="E169" s="122"/>
      <c r="F169" s="123">
        <v>1.6</v>
      </c>
      <c r="G169" s="124"/>
      <c r="H169" s="25">
        <f>D169*F169</f>
        <v>39.045066666666663</v>
      </c>
      <c r="I169" s="6"/>
    </row>
    <row r="170" spans="1:9" ht="16.2" thickBot="1" x14ac:dyDescent="0.35">
      <c r="A170" s="26"/>
      <c r="B170" s="26"/>
      <c r="C170" s="26"/>
      <c r="D170" s="27"/>
      <c r="E170" s="27"/>
      <c r="F170" s="22"/>
      <c r="G170" s="22"/>
      <c r="H170" s="28"/>
      <c r="I170" s="6"/>
    </row>
    <row r="171" spans="1:9" ht="16.2" thickBot="1" x14ac:dyDescent="0.35">
      <c r="A171" s="139" t="s">
        <v>23</v>
      </c>
      <c r="B171" s="140"/>
      <c r="C171" s="141"/>
      <c r="D171" s="205">
        <v>1</v>
      </c>
      <c r="E171" s="206"/>
      <c r="F171" s="207" t="s">
        <v>24</v>
      </c>
      <c r="G171" s="208"/>
      <c r="H171" s="29">
        <f>H169/D171</f>
        <v>39.045066666666663</v>
      </c>
      <c r="I171" s="6"/>
    </row>
    <row r="172" spans="1:9" x14ac:dyDescent="0.3">
      <c r="A172" s="6"/>
      <c r="B172" s="6"/>
      <c r="C172" s="6"/>
      <c r="D172" s="6"/>
      <c r="E172" s="6"/>
      <c r="F172" s="6"/>
      <c r="G172" s="6"/>
      <c r="H172" s="6"/>
      <c r="I172" s="6"/>
    </row>
    <row r="173" spans="1:9" ht="16.2" thickBot="1" x14ac:dyDescent="0.35">
      <c r="A173" s="6"/>
      <c r="B173" s="6"/>
      <c r="C173" s="6"/>
      <c r="D173" s="6"/>
      <c r="E173" s="6"/>
      <c r="F173" s="6"/>
      <c r="G173" s="6"/>
      <c r="H173" s="6"/>
      <c r="I173" s="6"/>
    </row>
    <row r="174" spans="1:9" x14ac:dyDescent="0.3">
      <c r="A174" s="125" t="s">
        <v>9</v>
      </c>
      <c r="B174" s="127" t="s">
        <v>10</v>
      </c>
      <c r="C174" s="127" t="s">
        <v>11</v>
      </c>
      <c r="D174" s="5" t="s">
        <v>12</v>
      </c>
      <c r="E174" s="129" t="s">
        <v>13</v>
      </c>
      <c r="F174" s="6"/>
      <c r="G174" s="131" t="s">
        <v>14</v>
      </c>
      <c r="H174" s="133" t="s">
        <v>15</v>
      </c>
      <c r="I174" s="211" t="s">
        <v>50</v>
      </c>
    </row>
    <row r="175" spans="1:9" x14ac:dyDescent="0.3">
      <c r="A175" s="126"/>
      <c r="B175" s="128"/>
      <c r="C175" s="128"/>
      <c r="D175" s="7" t="s">
        <v>16</v>
      </c>
      <c r="E175" s="130"/>
      <c r="F175" s="6"/>
      <c r="G175" s="132"/>
      <c r="H175" s="134"/>
      <c r="I175" s="211"/>
    </row>
    <row r="176" spans="1:9" x14ac:dyDescent="0.3">
      <c r="A176" s="8">
        <v>1</v>
      </c>
      <c r="B176" s="9" t="s">
        <v>57</v>
      </c>
      <c r="C176" s="10">
        <v>600</v>
      </c>
      <c r="D176" s="10">
        <v>1000</v>
      </c>
      <c r="E176" s="11">
        <f>C176/D176</f>
        <v>0.6</v>
      </c>
      <c r="F176" s="6"/>
      <c r="G176" s="12">
        <v>18</v>
      </c>
      <c r="H176" s="13">
        <f t="shared" ref="H176:H182" si="24">G176*E176</f>
        <v>10.799999999999999</v>
      </c>
      <c r="I176" s="6"/>
    </row>
    <row r="177" spans="1:9" x14ac:dyDescent="0.3">
      <c r="A177" s="8">
        <v>2</v>
      </c>
      <c r="B177" s="9"/>
      <c r="C177" s="10">
        <v>0</v>
      </c>
      <c r="D177" s="10">
        <v>1500</v>
      </c>
      <c r="E177" s="14">
        <f t="shared" ref="E177:E182" si="25">C177/D177</f>
        <v>0</v>
      </c>
      <c r="F177" s="6"/>
      <c r="G177" s="12">
        <v>0</v>
      </c>
      <c r="H177" s="15">
        <f t="shared" si="24"/>
        <v>0</v>
      </c>
      <c r="I177" s="6"/>
    </row>
    <row r="178" spans="1:9" x14ac:dyDescent="0.3">
      <c r="A178" s="8">
        <v>3</v>
      </c>
      <c r="B178" s="9" t="s">
        <v>37</v>
      </c>
      <c r="C178" s="10">
        <v>219</v>
      </c>
      <c r="D178" s="10">
        <v>1000</v>
      </c>
      <c r="E178" s="14">
        <f t="shared" si="25"/>
        <v>0.219</v>
      </c>
      <c r="F178" s="6"/>
      <c r="G178" s="12">
        <v>25</v>
      </c>
      <c r="H178" s="13">
        <f t="shared" si="24"/>
        <v>5.4749999999999996</v>
      </c>
      <c r="I178" s="6"/>
    </row>
    <row r="179" spans="1:9" x14ac:dyDescent="0.3">
      <c r="A179" s="8">
        <v>4</v>
      </c>
      <c r="B179" s="9"/>
      <c r="C179" s="10">
        <v>0</v>
      </c>
      <c r="D179" s="10">
        <v>2000</v>
      </c>
      <c r="E179" s="14">
        <f t="shared" si="25"/>
        <v>0</v>
      </c>
      <c r="F179" s="6"/>
      <c r="G179" s="12">
        <v>0</v>
      </c>
      <c r="H179" s="13">
        <f t="shared" si="24"/>
        <v>0</v>
      </c>
      <c r="I179" s="6"/>
    </row>
    <row r="180" spans="1:9" x14ac:dyDescent="0.3">
      <c r="A180" s="8">
        <v>5</v>
      </c>
      <c r="B180" s="9" t="s">
        <v>28</v>
      </c>
      <c r="C180" s="10">
        <v>100</v>
      </c>
      <c r="D180" s="10">
        <v>50</v>
      </c>
      <c r="E180" s="14">
        <f t="shared" si="25"/>
        <v>2</v>
      </c>
      <c r="F180" s="6"/>
      <c r="G180" s="12">
        <v>1</v>
      </c>
      <c r="H180" s="13">
        <f t="shared" si="24"/>
        <v>2</v>
      </c>
      <c r="I180" s="6"/>
    </row>
    <row r="181" spans="1:9" x14ac:dyDescent="0.3">
      <c r="A181" s="8">
        <v>6</v>
      </c>
      <c r="B181" s="9" t="s">
        <v>29</v>
      </c>
      <c r="C181" s="10">
        <v>19</v>
      </c>
      <c r="D181" s="10">
        <v>100</v>
      </c>
      <c r="E181" s="14">
        <f t="shared" si="25"/>
        <v>0.19</v>
      </c>
      <c r="F181" s="6"/>
      <c r="G181" s="12">
        <v>1</v>
      </c>
      <c r="H181" s="13">
        <f t="shared" si="24"/>
        <v>0.19</v>
      </c>
      <c r="I181" s="6"/>
    </row>
    <row r="182" spans="1:9" x14ac:dyDescent="0.3">
      <c r="A182" s="8">
        <v>7</v>
      </c>
      <c r="B182" s="9" t="s">
        <v>51</v>
      </c>
      <c r="C182" s="10">
        <v>8</v>
      </c>
      <c r="D182" s="10">
        <v>325</v>
      </c>
      <c r="E182" s="14">
        <f t="shared" si="25"/>
        <v>2.4615384615384615E-2</v>
      </c>
      <c r="F182" s="6"/>
      <c r="G182" s="12">
        <v>100</v>
      </c>
      <c r="H182" s="13">
        <f t="shared" si="24"/>
        <v>2.4615384615384617</v>
      </c>
      <c r="I182" s="6"/>
    </row>
    <row r="183" spans="1:9" x14ac:dyDescent="0.3">
      <c r="A183" s="8">
        <v>8</v>
      </c>
      <c r="B183" s="9"/>
      <c r="C183" s="10"/>
      <c r="D183" s="10"/>
      <c r="E183" s="14"/>
      <c r="F183" s="6"/>
      <c r="G183" s="12"/>
      <c r="H183" s="13"/>
      <c r="I183" s="6"/>
    </row>
    <row r="184" spans="1:9" x14ac:dyDescent="0.3">
      <c r="A184" s="8">
        <v>9</v>
      </c>
      <c r="B184" s="9"/>
      <c r="C184" s="10"/>
      <c r="D184" s="10"/>
      <c r="E184" s="14"/>
      <c r="F184" s="6"/>
      <c r="G184" s="12"/>
      <c r="H184" s="13"/>
      <c r="I184" s="6"/>
    </row>
    <row r="185" spans="1:9" ht="16.2" thickBot="1" x14ac:dyDescent="0.35">
      <c r="A185" s="16">
        <v>10</v>
      </c>
      <c r="B185" s="17"/>
      <c r="C185" s="18"/>
      <c r="D185" s="18"/>
      <c r="E185" s="19"/>
      <c r="F185" s="6"/>
      <c r="G185" s="12"/>
      <c r="H185" s="13"/>
      <c r="I185" s="6"/>
    </row>
    <row r="186" spans="1:9" ht="16.2" thickBot="1" x14ac:dyDescent="0.35">
      <c r="A186" s="6"/>
      <c r="B186" s="6"/>
      <c r="C186" s="6"/>
      <c r="D186" s="6"/>
      <c r="E186" s="6"/>
      <c r="F186" s="6"/>
      <c r="G186" s="20" t="s">
        <v>18</v>
      </c>
      <c r="H186" s="21">
        <f>SUM(H176:H185)</f>
        <v>20.926538461538463</v>
      </c>
      <c r="I186" s="6"/>
    </row>
    <row r="187" spans="1:9" ht="16.2" thickBot="1" x14ac:dyDescent="0.35">
      <c r="A187" s="6"/>
      <c r="B187" s="6"/>
      <c r="C187" s="6"/>
      <c r="D187" s="6"/>
      <c r="E187" s="6"/>
      <c r="F187" s="6"/>
      <c r="G187" s="22"/>
      <c r="H187" s="30"/>
      <c r="I187" s="6"/>
    </row>
    <row r="188" spans="1:9" x14ac:dyDescent="0.3">
      <c r="A188" s="110" t="s">
        <v>19</v>
      </c>
      <c r="B188" s="111"/>
      <c r="C188" s="111"/>
      <c r="D188" s="111"/>
      <c r="E188" s="111"/>
      <c r="F188" s="111"/>
      <c r="G188" s="111"/>
      <c r="H188" s="112"/>
      <c r="I188" s="6"/>
    </row>
    <row r="189" spans="1:9" x14ac:dyDescent="0.3">
      <c r="A189" s="113" t="s">
        <v>20</v>
      </c>
      <c r="B189" s="114"/>
      <c r="C189" s="115"/>
      <c r="D189" s="116">
        <f>H186</f>
        <v>20.926538461538463</v>
      </c>
      <c r="E189" s="116"/>
      <c r="F189" s="117" t="s">
        <v>21</v>
      </c>
      <c r="G189" s="118"/>
      <c r="H189" s="24">
        <f>D189*30%+D189</f>
        <v>27.204500000000003</v>
      </c>
      <c r="I189" s="6"/>
    </row>
    <row r="190" spans="1:9" ht="16.2" thickBot="1" x14ac:dyDescent="0.35">
      <c r="A190" s="119" t="s">
        <v>22</v>
      </c>
      <c r="B190" s="120"/>
      <c r="C190" s="121"/>
      <c r="D190" s="122">
        <f>H189</f>
        <v>27.204500000000003</v>
      </c>
      <c r="E190" s="122"/>
      <c r="F190" s="123">
        <v>1.6</v>
      </c>
      <c r="G190" s="124"/>
      <c r="H190" s="25">
        <f>D190*F190</f>
        <v>43.527200000000008</v>
      </c>
      <c r="I190" s="6"/>
    </row>
    <row r="191" spans="1:9" ht="16.2" thickBot="1" x14ac:dyDescent="0.35"/>
    <row r="192" spans="1:9" x14ac:dyDescent="0.3">
      <c r="A192" s="125" t="s">
        <v>9</v>
      </c>
      <c r="B192" s="127" t="s">
        <v>10</v>
      </c>
      <c r="C192" s="127" t="s">
        <v>11</v>
      </c>
      <c r="D192" s="5" t="s">
        <v>12</v>
      </c>
      <c r="E192" s="129" t="s">
        <v>13</v>
      </c>
      <c r="F192" s="6"/>
      <c r="G192" s="131" t="s">
        <v>14</v>
      </c>
      <c r="H192" s="133" t="s">
        <v>15</v>
      </c>
      <c r="I192" s="211" t="s">
        <v>79</v>
      </c>
    </row>
    <row r="193" spans="1:9" x14ac:dyDescent="0.3">
      <c r="A193" s="126"/>
      <c r="B193" s="128"/>
      <c r="C193" s="128"/>
      <c r="D193" s="7" t="s">
        <v>16</v>
      </c>
      <c r="E193" s="130"/>
      <c r="F193" s="6"/>
      <c r="G193" s="132"/>
      <c r="H193" s="134"/>
      <c r="I193" s="211"/>
    </row>
    <row r="194" spans="1:9" x14ac:dyDescent="0.3">
      <c r="A194" s="8">
        <v>1</v>
      </c>
      <c r="B194" s="9" t="s">
        <v>57</v>
      </c>
      <c r="C194" s="10">
        <v>600</v>
      </c>
      <c r="D194" s="10">
        <v>1000</v>
      </c>
      <c r="E194" s="11">
        <f t="shared" ref="E194:E200" si="26">C194/D194</f>
        <v>0.6</v>
      </c>
      <c r="F194" s="6"/>
      <c r="G194" s="12">
        <v>18</v>
      </c>
      <c r="H194" s="13">
        <f t="shared" ref="H194:H200" si="27">G194*E194</f>
        <v>10.799999999999999</v>
      </c>
      <c r="I194" s="6"/>
    </row>
    <row r="195" spans="1:9" x14ac:dyDescent="0.3">
      <c r="A195" s="8">
        <v>2</v>
      </c>
      <c r="B195" s="9" t="s">
        <v>34</v>
      </c>
      <c r="C195" s="10">
        <v>4.5999999999999996</v>
      </c>
      <c r="D195" s="10">
        <v>1500</v>
      </c>
      <c r="E195" s="14">
        <f t="shared" si="26"/>
        <v>3.0666666666666663E-3</v>
      </c>
      <c r="F195" s="6"/>
      <c r="G195" s="12">
        <v>100</v>
      </c>
      <c r="H195" s="15">
        <f t="shared" si="27"/>
        <v>0.30666666666666664</v>
      </c>
      <c r="I195" s="6"/>
    </row>
    <row r="196" spans="1:9" x14ac:dyDescent="0.3">
      <c r="A196" s="8">
        <v>3</v>
      </c>
      <c r="B196" s="9" t="s">
        <v>80</v>
      </c>
      <c r="C196" s="10">
        <v>199</v>
      </c>
      <c r="D196" s="10">
        <v>750</v>
      </c>
      <c r="E196" s="14">
        <f t="shared" si="26"/>
        <v>0.26533333333333331</v>
      </c>
      <c r="F196" s="6"/>
      <c r="G196" s="12">
        <v>30</v>
      </c>
      <c r="H196" s="13">
        <f t="shared" si="27"/>
        <v>7.9599999999999991</v>
      </c>
      <c r="I196" s="6"/>
    </row>
    <row r="197" spans="1:9" x14ac:dyDescent="0.3">
      <c r="A197" s="8">
        <v>4</v>
      </c>
      <c r="B197" s="9"/>
      <c r="C197" s="10">
        <v>0</v>
      </c>
      <c r="D197" s="10">
        <v>2000</v>
      </c>
      <c r="E197" s="14">
        <f t="shared" si="26"/>
        <v>0</v>
      </c>
      <c r="F197" s="6"/>
      <c r="G197" s="12">
        <v>0</v>
      </c>
      <c r="H197" s="13">
        <f t="shared" si="27"/>
        <v>0</v>
      </c>
      <c r="I197" s="6"/>
    </row>
    <row r="198" spans="1:9" x14ac:dyDescent="0.3">
      <c r="A198" s="8">
        <v>5</v>
      </c>
      <c r="B198" s="9" t="s">
        <v>35</v>
      </c>
      <c r="C198" s="10">
        <v>100</v>
      </c>
      <c r="D198" s="10">
        <v>50</v>
      </c>
      <c r="E198" s="14">
        <f t="shared" si="26"/>
        <v>2</v>
      </c>
      <c r="F198" s="6"/>
      <c r="G198" s="12">
        <v>1</v>
      </c>
      <c r="H198" s="13">
        <f t="shared" si="27"/>
        <v>2</v>
      </c>
      <c r="I198" s="6"/>
    </row>
    <row r="199" spans="1:9" x14ac:dyDescent="0.3">
      <c r="A199" s="8">
        <v>6</v>
      </c>
      <c r="B199" s="9" t="s">
        <v>29</v>
      </c>
      <c r="C199" s="10">
        <v>19</v>
      </c>
      <c r="D199" s="10">
        <v>100</v>
      </c>
      <c r="E199" s="14">
        <f t="shared" si="26"/>
        <v>0.19</v>
      </c>
      <c r="F199" s="6"/>
      <c r="G199" s="12">
        <v>1</v>
      </c>
      <c r="H199" s="13">
        <f t="shared" si="27"/>
        <v>0.19</v>
      </c>
      <c r="I199" s="6"/>
    </row>
    <row r="200" spans="1:9" x14ac:dyDescent="0.3">
      <c r="A200" s="8">
        <v>7</v>
      </c>
      <c r="B200" s="9"/>
      <c r="C200" s="10">
        <v>0</v>
      </c>
      <c r="D200" s="10">
        <v>100</v>
      </c>
      <c r="E200" s="14">
        <f t="shared" si="26"/>
        <v>0</v>
      </c>
      <c r="F200" s="6"/>
      <c r="G200" s="12">
        <v>0</v>
      </c>
      <c r="H200" s="13">
        <f t="shared" si="27"/>
        <v>0</v>
      </c>
      <c r="I200" s="6"/>
    </row>
    <row r="201" spans="1:9" x14ac:dyDescent="0.3">
      <c r="A201" s="8">
        <v>8</v>
      </c>
      <c r="B201" s="9"/>
      <c r="C201" s="10"/>
      <c r="D201" s="10"/>
      <c r="E201" s="14"/>
      <c r="F201" s="6"/>
      <c r="G201" s="12"/>
      <c r="H201" s="13"/>
      <c r="I201" s="6"/>
    </row>
    <row r="202" spans="1:9" x14ac:dyDescent="0.3">
      <c r="A202" s="8">
        <v>9</v>
      </c>
      <c r="B202" s="9"/>
      <c r="C202" s="10"/>
      <c r="D202" s="10"/>
      <c r="E202" s="14"/>
      <c r="F202" s="6"/>
      <c r="G202" s="12"/>
      <c r="H202" s="13"/>
      <c r="I202" s="6"/>
    </row>
    <row r="203" spans="1:9" ht="16.2" thickBot="1" x14ac:dyDescent="0.35">
      <c r="A203" s="16">
        <v>10</v>
      </c>
      <c r="B203" s="17"/>
      <c r="C203" s="18"/>
      <c r="D203" s="18"/>
      <c r="E203" s="19"/>
      <c r="F203" s="6"/>
      <c r="G203" s="12"/>
      <c r="H203" s="13"/>
      <c r="I203" s="6"/>
    </row>
    <row r="204" spans="1:9" ht="16.2" thickBot="1" x14ac:dyDescent="0.35">
      <c r="A204" s="6"/>
      <c r="B204" s="6"/>
      <c r="C204" s="6"/>
      <c r="D204" s="6"/>
      <c r="E204" s="6"/>
      <c r="F204" s="6"/>
      <c r="G204" s="20" t="s">
        <v>18</v>
      </c>
      <c r="H204" s="21">
        <f>SUM(H194:H203)</f>
        <v>21.256666666666664</v>
      </c>
      <c r="I204" s="6"/>
    </row>
    <row r="205" spans="1:9" ht="16.2" thickBot="1" x14ac:dyDescent="0.35">
      <c r="A205" s="6"/>
      <c r="B205" s="6"/>
      <c r="C205" s="6"/>
      <c r="D205" s="6"/>
      <c r="E205" s="6"/>
      <c r="F205" s="6"/>
      <c r="G205" s="6"/>
      <c r="H205" s="6"/>
      <c r="I205" s="6"/>
    </row>
    <row r="206" spans="1:9" x14ac:dyDescent="0.3">
      <c r="A206" s="110" t="s">
        <v>19</v>
      </c>
      <c r="B206" s="111"/>
      <c r="C206" s="111"/>
      <c r="D206" s="111"/>
      <c r="E206" s="111"/>
      <c r="F206" s="111"/>
      <c r="G206" s="111"/>
      <c r="H206" s="112"/>
      <c r="I206" s="6"/>
    </row>
    <row r="207" spans="1:9" x14ac:dyDescent="0.3">
      <c r="A207" s="113" t="s">
        <v>20</v>
      </c>
      <c r="B207" s="114"/>
      <c r="C207" s="115"/>
      <c r="D207" s="116">
        <f>H204</f>
        <v>21.256666666666664</v>
      </c>
      <c r="E207" s="116"/>
      <c r="F207" s="117" t="s">
        <v>21</v>
      </c>
      <c r="G207" s="118"/>
      <c r="H207" s="24">
        <f>D207*30%+D207</f>
        <v>27.633666666666663</v>
      </c>
      <c r="I207" s="6"/>
    </row>
    <row r="208" spans="1:9" ht="16.2" thickBot="1" x14ac:dyDescent="0.35">
      <c r="A208" s="119" t="s">
        <v>22</v>
      </c>
      <c r="B208" s="120"/>
      <c r="C208" s="121"/>
      <c r="D208" s="122">
        <f>H207</f>
        <v>27.633666666666663</v>
      </c>
      <c r="E208" s="122"/>
      <c r="F208" s="123">
        <v>1.6</v>
      </c>
      <c r="G208" s="124"/>
      <c r="H208" s="25">
        <f>D208*F208</f>
        <v>44.213866666666661</v>
      </c>
      <c r="I208" s="6"/>
    </row>
    <row r="209" spans="1:28" ht="16.2" thickBot="1" x14ac:dyDescent="0.35">
      <c r="A209" s="26"/>
      <c r="B209" s="26"/>
      <c r="C209" s="26"/>
      <c r="D209" s="27"/>
      <c r="E209" s="27"/>
      <c r="F209" s="22"/>
      <c r="G209" s="22"/>
      <c r="H209" s="28"/>
      <c r="I209" s="6"/>
    </row>
    <row r="210" spans="1:28" ht="16.2" thickBot="1" x14ac:dyDescent="0.35">
      <c r="A210" s="139" t="s">
        <v>23</v>
      </c>
      <c r="B210" s="140"/>
      <c r="C210" s="141"/>
      <c r="D210" s="205">
        <v>1</v>
      </c>
      <c r="E210" s="206"/>
      <c r="F210" s="207" t="s">
        <v>24</v>
      </c>
      <c r="G210" s="208"/>
      <c r="H210" s="29">
        <f>H208/D210</f>
        <v>44.213866666666661</v>
      </c>
      <c r="I210" s="6"/>
    </row>
    <row r="211" spans="1:28" ht="16.2" thickBot="1" x14ac:dyDescent="0.35"/>
    <row r="212" spans="1:28" x14ac:dyDescent="0.3">
      <c r="A212" s="125" t="s">
        <v>9</v>
      </c>
      <c r="B212" s="127" t="s">
        <v>10</v>
      </c>
      <c r="C212" s="127" t="s">
        <v>11</v>
      </c>
      <c r="D212" s="5" t="s">
        <v>12</v>
      </c>
      <c r="E212" s="129" t="s">
        <v>13</v>
      </c>
      <c r="F212" s="6"/>
      <c r="G212" s="131" t="s">
        <v>14</v>
      </c>
      <c r="H212" s="133" t="s">
        <v>15</v>
      </c>
      <c r="I212" s="210" t="s">
        <v>33</v>
      </c>
      <c r="J212" s="125" t="s">
        <v>9</v>
      </c>
      <c r="K212" s="127" t="s">
        <v>10</v>
      </c>
      <c r="L212" s="127" t="s">
        <v>11</v>
      </c>
      <c r="M212" s="5" t="s">
        <v>12</v>
      </c>
      <c r="N212" s="129" t="s">
        <v>13</v>
      </c>
      <c r="O212" s="6"/>
      <c r="P212" s="131" t="s">
        <v>14</v>
      </c>
      <c r="Q212" s="133" t="s">
        <v>15</v>
      </c>
      <c r="R212" s="210" t="s">
        <v>97</v>
      </c>
      <c r="T212" s="125" t="s">
        <v>9</v>
      </c>
      <c r="U212" s="127" t="s">
        <v>10</v>
      </c>
      <c r="V212" s="127" t="s">
        <v>11</v>
      </c>
      <c r="W212" s="5" t="s">
        <v>12</v>
      </c>
      <c r="X212" s="129" t="s">
        <v>13</v>
      </c>
      <c r="Y212" s="6"/>
      <c r="Z212" s="131" t="s">
        <v>14</v>
      </c>
      <c r="AA212" s="133" t="s">
        <v>15</v>
      </c>
      <c r="AB212" s="210" t="s">
        <v>105</v>
      </c>
    </row>
    <row r="213" spans="1:28" x14ac:dyDescent="0.3">
      <c r="A213" s="126"/>
      <c r="B213" s="128"/>
      <c r="C213" s="128"/>
      <c r="D213" s="7" t="s">
        <v>16</v>
      </c>
      <c r="E213" s="130"/>
      <c r="F213" s="6"/>
      <c r="G213" s="132"/>
      <c r="H213" s="134"/>
      <c r="I213" s="210"/>
      <c r="J213" s="126"/>
      <c r="K213" s="128"/>
      <c r="L213" s="128"/>
      <c r="M213" s="7" t="s">
        <v>16</v>
      </c>
      <c r="N213" s="130"/>
      <c r="O213" s="6"/>
      <c r="P213" s="132"/>
      <c r="Q213" s="134"/>
      <c r="R213" s="210"/>
      <c r="T213" s="126"/>
      <c r="U213" s="128"/>
      <c r="V213" s="128"/>
      <c r="W213" s="7" t="s">
        <v>16</v>
      </c>
      <c r="X213" s="130"/>
      <c r="Y213" s="6"/>
      <c r="Z213" s="132"/>
      <c r="AA213" s="134"/>
      <c r="AB213" s="210"/>
    </row>
    <row r="214" spans="1:28" x14ac:dyDescent="0.3">
      <c r="A214" s="8">
        <v>1</v>
      </c>
      <c r="B214" s="9" t="s">
        <v>57</v>
      </c>
      <c r="C214" s="10">
        <v>600</v>
      </c>
      <c r="D214" s="10">
        <v>1000</v>
      </c>
      <c r="E214" s="11">
        <f t="shared" ref="E214:E220" si="28">C214/D214</f>
        <v>0.6</v>
      </c>
      <c r="F214" s="6"/>
      <c r="G214" s="12">
        <v>18</v>
      </c>
      <c r="H214" s="13">
        <f t="shared" ref="H214:H220" si="29">G214*E214</f>
        <v>10.799999999999999</v>
      </c>
      <c r="I214" s="6"/>
      <c r="J214" s="8">
        <v>1</v>
      </c>
      <c r="K214" s="9" t="s">
        <v>94</v>
      </c>
      <c r="L214" s="10">
        <v>1000</v>
      </c>
      <c r="M214" s="10">
        <v>1000</v>
      </c>
      <c r="N214" s="11">
        <f t="shared" ref="N214:N220" si="30">L214/M214</f>
        <v>1</v>
      </c>
      <c r="O214" s="6"/>
      <c r="P214" s="12">
        <v>18</v>
      </c>
      <c r="Q214" s="13">
        <f t="shared" ref="Q214:Q220" si="31">P214*N214</f>
        <v>18</v>
      </c>
      <c r="R214" s="6"/>
      <c r="T214" s="8">
        <v>1</v>
      </c>
      <c r="U214" s="9" t="s">
        <v>104</v>
      </c>
      <c r="V214" s="10">
        <v>480</v>
      </c>
      <c r="W214" s="10">
        <v>1000</v>
      </c>
      <c r="X214" s="11">
        <f t="shared" ref="X214:X220" si="32">V214/W214</f>
        <v>0.48</v>
      </c>
      <c r="Y214" s="6"/>
      <c r="Z214" s="12">
        <v>18</v>
      </c>
      <c r="AA214" s="13">
        <f t="shared" ref="AA214:AA220" si="33">Z214*X214</f>
        <v>8.64</v>
      </c>
      <c r="AB214" s="6"/>
    </row>
    <row r="215" spans="1:28" x14ac:dyDescent="0.3">
      <c r="A215" s="8">
        <v>2</v>
      </c>
      <c r="B215" s="9" t="s">
        <v>41</v>
      </c>
      <c r="C215" s="10">
        <v>55</v>
      </c>
      <c r="D215" s="10">
        <v>1000</v>
      </c>
      <c r="E215" s="14">
        <f t="shared" si="28"/>
        <v>5.5E-2</v>
      </c>
      <c r="F215" s="6"/>
      <c r="G215" s="12">
        <v>40</v>
      </c>
      <c r="H215" s="15">
        <f t="shared" si="29"/>
        <v>2.2000000000000002</v>
      </c>
      <c r="I215" s="6"/>
      <c r="J215" s="8">
        <v>2</v>
      </c>
      <c r="K215" s="9" t="s">
        <v>41</v>
      </c>
      <c r="L215" s="10">
        <v>55</v>
      </c>
      <c r="M215" s="10">
        <v>1000</v>
      </c>
      <c r="N215" s="14">
        <f t="shared" si="30"/>
        <v>5.5E-2</v>
      </c>
      <c r="O215" s="6"/>
      <c r="P215" s="12">
        <v>40</v>
      </c>
      <c r="Q215" s="15">
        <f t="shared" si="31"/>
        <v>2.2000000000000002</v>
      </c>
      <c r="R215" s="6"/>
      <c r="T215" s="8">
        <v>2</v>
      </c>
      <c r="U215" s="9" t="s">
        <v>41</v>
      </c>
      <c r="V215" s="10">
        <v>55</v>
      </c>
      <c r="W215" s="10">
        <v>1000</v>
      </c>
      <c r="X215" s="14">
        <f t="shared" si="32"/>
        <v>5.5E-2</v>
      </c>
      <c r="Y215" s="6"/>
      <c r="Z215" s="12">
        <v>40</v>
      </c>
      <c r="AA215" s="15">
        <f t="shared" si="33"/>
        <v>2.2000000000000002</v>
      </c>
      <c r="AB215" s="6"/>
    </row>
    <row r="216" spans="1:28" x14ac:dyDescent="0.3">
      <c r="A216" s="8">
        <v>3</v>
      </c>
      <c r="B216" s="9" t="s">
        <v>47</v>
      </c>
      <c r="C216" s="10">
        <v>98</v>
      </c>
      <c r="D216" s="10">
        <v>2000</v>
      </c>
      <c r="E216" s="14">
        <f t="shared" si="28"/>
        <v>4.9000000000000002E-2</v>
      </c>
      <c r="F216" s="6"/>
      <c r="G216" s="12">
        <v>60</v>
      </c>
      <c r="H216" s="13">
        <f t="shared" si="29"/>
        <v>2.94</v>
      </c>
      <c r="I216" s="6"/>
      <c r="J216" s="8">
        <v>3</v>
      </c>
      <c r="K216" s="9" t="s">
        <v>47</v>
      </c>
      <c r="L216" s="10">
        <v>98</v>
      </c>
      <c r="M216" s="10">
        <v>2000</v>
      </c>
      <c r="N216" s="14">
        <f t="shared" si="30"/>
        <v>4.9000000000000002E-2</v>
      </c>
      <c r="O216" s="6"/>
      <c r="P216" s="12">
        <v>60</v>
      </c>
      <c r="Q216" s="13">
        <f t="shared" si="31"/>
        <v>2.94</v>
      </c>
      <c r="R216" s="6"/>
      <c r="T216" s="8">
        <v>3</v>
      </c>
      <c r="U216" s="9" t="s">
        <v>47</v>
      </c>
      <c r="V216" s="10">
        <v>95</v>
      </c>
      <c r="W216" s="10">
        <v>2000</v>
      </c>
      <c r="X216" s="14">
        <f t="shared" si="32"/>
        <v>4.7500000000000001E-2</v>
      </c>
      <c r="Y216" s="6"/>
      <c r="Z216" s="12">
        <v>60</v>
      </c>
      <c r="AA216" s="13">
        <f t="shared" si="33"/>
        <v>2.85</v>
      </c>
      <c r="AB216" s="6"/>
    </row>
    <row r="217" spans="1:28" x14ac:dyDescent="0.3">
      <c r="A217" s="8">
        <v>4</v>
      </c>
      <c r="B217" s="9" t="s">
        <v>26</v>
      </c>
      <c r="C217" s="10">
        <v>118</v>
      </c>
      <c r="D217" s="10">
        <v>2000</v>
      </c>
      <c r="E217" s="14">
        <f t="shared" si="28"/>
        <v>5.8999999999999997E-2</v>
      </c>
      <c r="F217" s="6"/>
      <c r="G217" s="12">
        <v>30</v>
      </c>
      <c r="H217" s="13">
        <f t="shared" si="29"/>
        <v>1.77</v>
      </c>
      <c r="I217" s="6"/>
      <c r="J217" s="8">
        <v>4</v>
      </c>
      <c r="K217" s="9" t="s">
        <v>26</v>
      </c>
      <c r="L217" s="10">
        <v>118</v>
      </c>
      <c r="M217" s="10">
        <v>2000</v>
      </c>
      <c r="N217" s="14">
        <f t="shared" si="30"/>
        <v>5.8999999999999997E-2</v>
      </c>
      <c r="O217" s="6"/>
      <c r="P217" s="12">
        <v>30</v>
      </c>
      <c r="Q217" s="13">
        <f t="shared" si="31"/>
        <v>1.77</v>
      </c>
      <c r="R217" s="6"/>
      <c r="T217" s="8">
        <v>4</v>
      </c>
      <c r="U217" s="9" t="s">
        <v>26</v>
      </c>
      <c r="V217" s="10">
        <v>118</v>
      </c>
      <c r="W217" s="10">
        <v>2000</v>
      </c>
      <c r="X217" s="14">
        <f t="shared" si="32"/>
        <v>5.8999999999999997E-2</v>
      </c>
      <c r="Y217" s="6"/>
      <c r="Z217" s="12">
        <v>30</v>
      </c>
      <c r="AA217" s="13">
        <f t="shared" si="33"/>
        <v>1.77</v>
      </c>
      <c r="AB217" s="6"/>
    </row>
    <row r="218" spans="1:28" x14ac:dyDescent="0.3">
      <c r="A218" s="8">
        <v>5</v>
      </c>
      <c r="B218" s="9" t="s">
        <v>28</v>
      </c>
      <c r="C218" s="10">
        <v>100</v>
      </c>
      <c r="D218" s="10">
        <v>50</v>
      </c>
      <c r="E218" s="14">
        <f t="shared" si="28"/>
        <v>2</v>
      </c>
      <c r="F218" s="6"/>
      <c r="G218" s="12">
        <v>1</v>
      </c>
      <c r="H218" s="13">
        <f t="shared" si="29"/>
        <v>2</v>
      </c>
      <c r="I218" s="6"/>
      <c r="J218" s="8">
        <v>5</v>
      </c>
      <c r="K218" s="9" t="s">
        <v>28</v>
      </c>
      <c r="L218" s="10">
        <v>100</v>
      </c>
      <c r="M218" s="10">
        <v>50</v>
      </c>
      <c r="N218" s="14">
        <f t="shared" si="30"/>
        <v>2</v>
      </c>
      <c r="O218" s="6"/>
      <c r="P218" s="12">
        <v>1</v>
      </c>
      <c r="Q218" s="13">
        <f t="shared" si="31"/>
        <v>2</v>
      </c>
      <c r="R218" s="6"/>
      <c r="T218" s="8">
        <v>5</v>
      </c>
      <c r="U218" s="9" t="s">
        <v>28</v>
      </c>
      <c r="V218" s="10">
        <v>100</v>
      </c>
      <c r="W218" s="10">
        <v>50</v>
      </c>
      <c r="X218" s="14">
        <f t="shared" si="32"/>
        <v>2</v>
      </c>
      <c r="Y218" s="6"/>
      <c r="Z218" s="12">
        <v>1</v>
      </c>
      <c r="AA218" s="13">
        <f t="shared" si="33"/>
        <v>2</v>
      </c>
      <c r="AB218" s="6"/>
    </row>
    <row r="219" spans="1:28" x14ac:dyDescent="0.3">
      <c r="A219" s="8">
        <v>6</v>
      </c>
      <c r="B219" s="9" t="s">
        <v>29</v>
      </c>
      <c r="C219" s="10">
        <v>19</v>
      </c>
      <c r="D219" s="10">
        <v>100</v>
      </c>
      <c r="E219" s="14">
        <f t="shared" si="28"/>
        <v>0.19</v>
      </c>
      <c r="F219" s="6"/>
      <c r="G219" s="12">
        <v>1</v>
      </c>
      <c r="H219" s="13">
        <f t="shared" si="29"/>
        <v>0.19</v>
      </c>
      <c r="I219" s="6"/>
      <c r="J219" s="8">
        <v>6</v>
      </c>
      <c r="K219" s="9" t="s">
        <v>29</v>
      </c>
      <c r="L219" s="10">
        <v>19</v>
      </c>
      <c r="M219" s="10">
        <v>100</v>
      </c>
      <c r="N219" s="14">
        <f t="shared" si="30"/>
        <v>0.19</v>
      </c>
      <c r="O219" s="6"/>
      <c r="P219" s="12">
        <v>1</v>
      </c>
      <c r="Q219" s="13">
        <f t="shared" si="31"/>
        <v>0.19</v>
      </c>
      <c r="R219" s="6"/>
      <c r="T219" s="8">
        <v>6</v>
      </c>
      <c r="U219" s="9" t="s">
        <v>29</v>
      </c>
      <c r="V219" s="10">
        <v>19</v>
      </c>
      <c r="W219" s="10">
        <v>100</v>
      </c>
      <c r="X219" s="14">
        <f t="shared" si="32"/>
        <v>0.19</v>
      </c>
      <c r="Y219" s="6"/>
      <c r="Z219" s="12">
        <v>1</v>
      </c>
      <c r="AA219" s="13">
        <f t="shared" si="33"/>
        <v>0.19</v>
      </c>
      <c r="AB219" s="6"/>
    </row>
    <row r="220" spans="1:28" x14ac:dyDescent="0.3">
      <c r="A220" s="8">
        <v>7</v>
      </c>
      <c r="B220" s="9"/>
      <c r="C220" s="10">
        <v>0</v>
      </c>
      <c r="D220" s="10">
        <v>1500</v>
      </c>
      <c r="E220" s="14">
        <f t="shared" si="28"/>
        <v>0</v>
      </c>
      <c r="F220" s="6"/>
      <c r="G220" s="12">
        <v>0</v>
      </c>
      <c r="H220" s="13">
        <f t="shared" si="29"/>
        <v>0</v>
      </c>
      <c r="I220" s="6"/>
      <c r="J220" s="8">
        <v>7</v>
      </c>
      <c r="K220" s="9"/>
      <c r="L220" s="10">
        <v>0</v>
      </c>
      <c r="M220" s="10">
        <v>1500</v>
      </c>
      <c r="N220" s="14">
        <f t="shared" si="30"/>
        <v>0</v>
      </c>
      <c r="O220" s="6"/>
      <c r="P220" s="12">
        <v>0</v>
      </c>
      <c r="Q220" s="13">
        <f t="shared" si="31"/>
        <v>0</v>
      </c>
      <c r="R220" s="6"/>
      <c r="T220" s="8">
        <v>7</v>
      </c>
      <c r="U220" s="9"/>
      <c r="V220" s="10">
        <v>0</v>
      </c>
      <c r="W220" s="10">
        <v>1500</v>
      </c>
      <c r="X220" s="14">
        <f t="shared" si="32"/>
        <v>0</v>
      </c>
      <c r="Y220" s="6"/>
      <c r="Z220" s="12">
        <v>0</v>
      </c>
      <c r="AA220" s="13">
        <f t="shared" si="33"/>
        <v>0</v>
      </c>
      <c r="AB220" s="6"/>
    </row>
    <row r="221" spans="1:28" x14ac:dyDescent="0.3">
      <c r="A221" s="8">
        <v>8</v>
      </c>
      <c r="B221" s="9"/>
      <c r="C221" s="10"/>
      <c r="D221" s="10"/>
      <c r="E221" s="14"/>
      <c r="F221" s="6"/>
      <c r="G221" s="12"/>
      <c r="H221" s="13"/>
      <c r="I221" s="6"/>
      <c r="J221" s="8">
        <v>8</v>
      </c>
      <c r="K221" s="9"/>
      <c r="L221" s="10"/>
      <c r="M221" s="10"/>
      <c r="N221" s="14"/>
      <c r="O221" s="6"/>
      <c r="P221" s="12"/>
      <c r="Q221" s="13"/>
      <c r="R221" s="6"/>
      <c r="T221" s="8">
        <v>8</v>
      </c>
      <c r="U221" s="9"/>
      <c r="V221" s="10"/>
      <c r="W221" s="10"/>
      <c r="X221" s="14"/>
      <c r="Y221" s="6"/>
      <c r="Z221" s="12"/>
      <c r="AA221" s="13"/>
      <c r="AB221" s="6"/>
    </row>
    <row r="222" spans="1:28" x14ac:dyDescent="0.3">
      <c r="A222" s="8">
        <v>9</v>
      </c>
      <c r="B222" s="9"/>
      <c r="C222" s="10"/>
      <c r="D222" s="10"/>
      <c r="E222" s="14"/>
      <c r="F222" s="6"/>
      <c r="G222" s="12"/>
      <c r="H222" s="13"/>
      <c r="I222" s="6"/>
      <c r="J222" s="8">
        <v>9</v>
      </c>
      <c r="K222" s="9"/>
      <c r="L222" s="10"/>
      <c r="M222" s="10"/>
      <c r="N222" s="14"/>
      <c r="O222" s="6"/>
      <c r="P222" s="12"/>
      <c r="Q222" s="13"/>
      <c r="R222" s="6"/>
      <c r="T222" s="8">
        <v>9</v>
      </c>
      <c r="U222" s="9"/>
      <c r="V222" s="10"/>
      <c r="W222" s="10"/>
      <c r="X222" s="14"/>
      <c r="Y222" s="6"/>
      <c r="Z222" s="12"/>
      <c r="AA222" s="13"/>
      <c r="AB222" s="6"/>
    </row>
    <row r="223" spans="1:28" ht="16.2" thickBot="1" x14ac:dyDescent="0.35">
      <c r="A223" s="16">
        <v>10</v>
      </c>
      <c r="B223" s="17"/>
      <c r="C223" s="18"/>
      <c r="D223" s="18"/>
      <c r="E223" s="19"/>
      <c r="F223" s="6"/>
      <c r="G223" s="12"/>
      <c r="H223" s="13"/>
      <c r="I223" s="6"/>
      <c r="J223" s="16">
        <v>10</v>
      </c>
      <c r="K223" s="17"/>
      <c r="L223" s="18"/>
      <c r="M223" s="18"/>
      <c r="N223" s="19"/>
      <c r="O223" s="6"/>
      <c r="P223" s="12"/>
      <c r="Q223" s="13"/>
      <c r="R223" s="6"/>
      <c r="T223" s="16">
        <v>10</v>
      </c>
      <c r="U223" s="17"/>
      <c r="V223" s="18"/>
      <c r="W223" s="18"/>
      <c r="X223" s="19"/>
      <c r="Y223" s="6"/>
      <c r="Z223" s="12"/>
      <c r="AA223" s="13"/>
      <c r="AB223" s="6"/>
    </row>
    <row r="224" spans="1:28" ht="16.2" thickBot="1" x14ac:dyDescent="0.35">
      <c r="A224" s="6"/>
      <c r="B224" s="6"/>
      <c r="C224" s="6"/>
      <c r="D224" s="6"/>
      <c r="E224" s="6"/>
      <c r="F224" s="6"/>
      <c r="G224" s="20" t="s">
        <v>18</v>
      </c>
      <c r="H224" s="21">
        <f>SUM(H214:H223)</f>
        <v>19.900000000000002</v>
      </c>
      <c r="I224" s="6"/>
      <c r="J224" s="6"/>
      <c r="K224" s="6"/>
      <c r="L224" s="6"/>
      <c r="M224" s="6"/>
      <c r="N224" s="6"/>
      <c r="O224" s="6"/>
      <c r="P224" s="20" t="s">
        <v>18</v>
      </c>
      <c r="Q224" s="21">
        <f>SUM(Q214:Q223)</f>
        <v>27.1</v>
      </c>
      <c r="R224" s="6"/>
      <c r="T224" s="6"/>
      <c r="U224" s="6"/>
      <c r="V224" s="6"/>
      <c r="W224" s="6"/>
      <c r="X224" s="6"/>
      <c r="Y224" s="6"/>
      <c r="Z224" s="20" t="s">
        <v>18</v>
      </c>
      <c r="AA224" s="21">
        <f>SUM(AA214:AA223)</f>
        <v>17.650000000000002</v>
      </c>
      <c r="AB224" s="6"/>
    </row>
    <row r="225" spans="1:28" ht="16.2" thickBot="1" x14ac:dyDescent="0.35">
      <c r="A225" s="6"/>
      <c r="B225" s="6"/>
      <c r="C225" s="6"/>
      <c r="D225" s="6"/>
      <c r="E225" s="6"/>
      <c r="F225" s="6"/>
      <c r="G225" s="22"/>
      <c r="H225" s="23"/>
      <c r="I225" s="6"/>
      <c r="J225" s="6"/>
      <c r="K225" s="6"/>
      <c r="L225" s="6"/>
      <c r="M225" s="6"/>
      <c r="N225" s="6"/>
      <c r="O225" s="6"/>
      <c r="P225" s="22"/>
      <c r="Q225" s="23"/>
      <c r="R225" s="6"/>
      <c r="T225" s="6"/>
      <c r="U225" s="6"/>
      <c r="V225" s="6"/>
      <c r="W225" s="6"/>
      <c r="X225" s="6"/>
      <c r="Y225" s="6"/>
      <c r="Z225" s="22"/>
      <c r="AA225" s="23"/>
      <c r="AB225" s="6"/>
    </row>
    <row r="226" spans="1:28" x14ac:dyDescent="0.3">
      <c r="A226" s="110" t="s">
        <v>19</v>
      </c>
      <c r="B226" s="111"/>
      <c r="C226" s="111"/>
      <c r="D226" s="111"/>
      <c r="E226" s="111"/>
      <c r="F226" s="111"/>
      <c r="G226" s="111"/>
      <c r="H226" s="112"/>
      <c r="I226" s="6"/>
      <c r="J226" s="110" t="s">
        <v>19</v>
      </c>
      <c r="K226" s="111"/>
      <c r="L226" s="111"/>
      <c r="M226" s="111"/>
      <c r="N226" s="111"/>
      <c r="O226" s="111"/>
      <c r="P226" s="111"/>
      <c r="Q226" s="112"/>
      <c r="R226" s="6"/>
      <c r="T226" s="110" t="s">
        <v>19</v>
      </c>
      <c r="U226" s="111"/>
      <c r="V226" s="111"/>
      <c r="W226" s="111"/>
      <c r="X226" s="111"/>
      <c r="Y226" s="111"/>
      <c r="Z226" s="111"/>
      <c r="AA226" s="112"/>
      <c r="AB226" s="6"/>
    </row>
    <row r="227" spans="1:28" x14ac:dyDescent="0.3">
      <c r="A227" s="113" t="s">
        <v>20</v>
      </c>
      <c r="B227" s="114"/>
      <c r="C227" s="115"/>
      <c r="D227" s="116">
        <f>H224</f>
        <v>19.900000000000002</v>
      </c>
      <c r="E227" s="116"/>
      <c r="F227" s="117" t="s">
        <v>21</v>
      </c>
      <c r="G227" s="118"/>
      <c r="H227" s="24">
        <f>D227*30%+D227</f>
        <v>25.870000000000005</v>
      </c>
      <c r="I227" s="6"/>
      <c r="J227" s="113" t="s">
        <v>20</v>
      </c>
      <c r="K227" s="114"/>
      <c r="L227" s="115"/>
      <c r="M227" s="116">
        <f>Q224</f>
        <v>27.1</v>
      </c>
      <c r="N227" s="116"/>
      <c r="O227" s="117" t="s">
        <v>21</v>
      </c>
      <c r="P227" s="118"/>
      <c r="Q227" s="24">
        <f>M227*30%+M227</f>
        <v>35.230000000000004</v>
      </c>
      <c r="R227" s="6"/>
      <c r="T227" s="113" t="s">
        <v>20</v>
      </c>
      <c r="U227" s="114"/>
      <c r="V227" s="115"/>
      <c r="W227" s="116">
        <f>AA224</f>
        <v>17.650000000000002</v>
      </c>
      <c r="X227" s="116"/>
      <c r="Y227" s="117" t="s">
        <v>21</v>
      </c>
      <c r="Z227" s="118"/>
      <c r="AA227" s="24">
        <f>W227*30%+W227</f>
        <v>22.945000000000004</v>
      </c>
      <c r="AB227" s="6"/>
    </row>
    <row r="228" spans="1:28" ht="16.2" thickBot="1" x14ac:dyDescent="0.35">
      <c r="A228" s="119" t="s">
        <v>22</v>
      </c>
      <c r="B228" s="120"/>
      <c r="C228" s="121"/>
      <c r="D228" s="122">
        <f>H227</f>
        <v>25.870000000000005</v>
      </c>
      <c r="E228" s="122"/>
      <c r="F228" s="123">
        <v>1.6</v>
      </c>
      <c r="G228" s="124"/>
      <c r="H228" s="25">
        <f>D228*F228</f>
        <v>41.39200000000001</v>
      </c>
      <c r="I228" s="6"/>
      <c r="J228" s="119" t="s">
        <v>22</v>
      </c>
      <c r="K228" s="120"/>
      <c r="L228" s="121"/>
      <c r="M228" s="122">
        <f>Q227</f>
        <v>35.230000000000004</v>
      </c>
      <c r="N228" s="122"/>
      <c r="O228" s="123">
        <v>1.6</v>
      </c>
      <c r="P228" s="124"/>
      <c r="Q228" s="25">
        <f>M228*O228</f>
        <v>56.368000000000009</v>
      </c>
      <c r="R228" s="6"/>
      <c r="T228" s="119" t="s">
        <v>22</v>
      </c>
      <c r="U228" s="120"/>
      <c r="V228" s="121"/>
      <c r="W228" s="122">
        <f>AA227</f>
        <v>22.945000000000004</v>
      </c>
      <c r="X228" s="122"/>
      <c r="Y228" s="123">
        <v>1.6</v>
      </c>
      <c r="Z228" s="124"/>
      <c r="AA228" s="25">
        <f>W228*Y228</f>
        <v>36.71200000000001</v>
      </c>
      <c r="AB228" s="6"/>
    </row>
    <row r="229" spans="1:28" ht="16.2" thickBot="1" x14ac:dyDescent="0.35">
      <c r="A229" s="26"/>
      <c r="B229" s="26"/>
      <c r="C229" s="26"/>
      <c r="D229" s="27"/>
      <c r="E229" s="27"/>
      <c r="F229" s="22"/>
      <c r="G229" s="22"/>
      <c r="H229" s="28"/>
      <c r="I229" s="6"/>
      <c r="J229" s="26"/>
      <c r="K229" s="26"/>
      <c r="L229" s="26"/>
      <c r="M229" s="27"/>
      <c r="N229" s="27"/>
      <c r="O229" s="22"/>
      <c r="P229" s="22"/>
      <c r="Q229" s="28"/>
      <c r="R229" s="6"/>
      <c r="T229" s="26"/>
      <c r="U229" s="26"/>
      <c r="V229" s="26"/>
      <c r="W229" s="27"/>
      <c r="X229" s="27"/>
      <c r="Y229" s="22"/>
      <c r="Z229" s="22"/>
      <c r="AA229" s="28"/>
      <c r="AB229" s="6"/>
    </row>
    <row r="230" spans="1:28" ht="16.2" thickBot="1" x14ac:dyDescent="0.35">
      <c r="A230" s="139" t="s">
        <v>23</v>
      </c>
      <c r="B230" s="140"/>
      <c r="C230" s="141"/>
      <c r="D230" s="205">
        <v>1</v>
      </c>
      <c r="E230" s="206"/>
      <c r="F230" s="207" t="s">
        <v>24</v>
      </c>
      <c r="G230" s="208"/>
      <c r="H230" s="29">
        <f>H228/D230</f>
        <v>41.39200000000001</v>
      </c>
      <c r="I230" s="6"/>
      <c r="J230" s="139" t="s">
        <v>23</v>
      </c>
      <c r="K230" s="140"/>
      <c r="L230" s="141"/>
      <c r="M230" s="205">
        <v>1</v>
      </c>
      <c r="N230" s="206"/>
      <c r="O230" s="207" t="s">
        <v>24</v>
      </c>
      <c r="P230" s="208"/>
      <c r="Q230" s="29">
        <f>Q228/M230</f>
        <v>56.368000000000009</v>
      </c>
      <c r="R230" s="6"/>
      <c r="T230" s="139" t="s">
        <v>23</v>
      </c>
      <c r="U230" s="140"/>
      <c r="V230" s="141"/>
      <c r="W230" s="205">
        <v>1</v>
      </c>
      <c r="X230" s="206"/>
      <c r="Y230" s="207" t="s">
        <v>24</v>
      </c>
      <c r="Z230" s="208"/>
      <c r="AA230" s="29">
        <f>AA228/W230</f>
        <v>36.71200000000001</v>
      </c>
      <c r="AB230" s="6"/>
    </row>
    <row r="231" spans="1:28" x14ac:dyDescent="0.3">
      <c r="A231" s="6"/>
      <c r="B231" s="6"/>
      <c r="C231" s="6"/>
      <c r="D231" s="6"/>
      <c r="E231" s="6"/>
      <c r="F231" s="6"/>
      <c r="G231" s="6"/>
      <c r="H231" s="6"/>
      <c r="I231" s="6"/>
    </row>
    <row r="232" spans="1:28" ht="16.2" thickBot="1" x14ac:dyDescent="0.35">
      <c r="A232" s="6"/>
      <c r="B232" s="6"/>
      <c r="C232" s="6"/>
      <c r="D232" s="6"/>
      <c r="E232" s="6"/>
      <c r="F232" s="6"/>
      <c r="G232" s="6"/>
      <c r="H232" s="6"/>
      <c r="I232" s="6"/>
    </row>
    <row r="233" spans="1:28" x14ac:dyDescent="0.3">
      <c r="A233" s="125" t="s">
        <v>9</v>
      </c>
      <c r="B233" s="127" t="s">
        <v>10</v>
      </c>
      <c r="C233" s="127" t="s">
        <v>11</v>
      </c>
      <c r="D233" s="5" t="s">
        <v>12</v>
      </c>
      <c r="E233" s="129" t="s">
        <v>13</v>
      </c>
      <c r="F233" s="6"/>
      <c r="G233" s="131" t="s">
        <v>14</v>
      </c>
      <c r="H233" s="133" t="s">
        <v>15</v>
      </c>
      <c r="I233" s="210" t="s">
        <v>77</v>
      </c>
      <c r="J233" s="125" t="s">
        <v>9</v>
      </c>
      <c r="K233" s="127" t="s">
        <v>10</v>
      </c>
      <c r="L233" s="127" t="s">
        <v>11</v>
      </c>
      <c r="M233" s="5" t="s">
        <v>12</v>
      </c>
      <c r="N233" s="129" t="s">
        <v>13</v>
      </c>
      <c r="O233" s="6"/>
      <c r="P233" s="131" t="s">
        <v>14</v>
      </c>
      <c r="Q233" s="133" t="s">
        <v>15</v>
      </c>
      <c r="R233" s="210" t="s">
        <v>103</v>
      </c>
    </row>
    <row r="234" spans="1:28" x14ac:dyDescent="0.3">
      <c r="A234" s="126"/>
      <c r="B234" s="128"/>
      <c r="C234" s="128"/>
      <c r="D234" s="7" t="s">
        <v>16</v>
      </c>
      <c r="E234" s="130"/>
      <c r="F234" s="6"/>
      <c r="G234" s="132"/>
      <c r="H234" s="134"/>
      <c r="I234" s="210"/>
      <c r="J234" s="126"/>
      <c r="K234" s="128"/>
      <c r="L234" s="128"/>
      <c r="M234" s="7" t="s">
        <v>16</v>
      </c>
      <c r="N234" s="130"/>
      <c r="O234" s="6"/>
      <c r="P234" s="132"/>
      <c r="Q234" s="134"/>
      <c r="R234" s="210"/>
    </row>
    <row r="235" spans="1:28" x14ac:dyDescent="0.3">
      <c r="A235" s="8">
        <v>1</v>
      </c>
      <c r="B235" s="9" t="s">
        <v>57</v>
      </c>
      <c r="C235" s="10">
        <v>600</v>
      </c>
      <c r="D235" s="10">
        <v>1000</v>
      </c>
      <c r="E235" s="11">
        <f t="shared" ref="E235:E241" si="34">C235/D235</f>
        <v>0.6</v>
      </c>
      <c r="F235" s="6"/>
      <c r="G235" s="12">
        <v>18</v>
      </c>
      <c r="H235" s="13">
        <f t="shared" ref="H235:H241" si="35">G235*E235</f>
        <v>10.799999999999999</v>
      </c>
      <c r="I235" s="6"/>
      <c r="J235" s="8">
        <v>1</v>
      </c>
      <c r="K235" s="9" t="s">
        <v>94</v>
      </c>
      <c r="L235" s="10">
        <v>1000</v>
      </c>
      <c r="M235" s="10">
        <v>1000</v>
      </c>
      <c r="N235" s="11">
        <f t="shared" ref="N235:N241" si="36">L235/M235</f>
        <v>1</v>
      </c>
      <c r="O235" s="6"/>
      <c r="P235" s="12">
        <v>18</v>
      </c>
      <c r="Q235" s="13">
        <f t="shared" ref="Q235:Q241" si="37">P235*N235</f>
        <v>18</v>
      </c>
      <c r="R235" s="6"/>
    </row>
    <row r="236" spans="1:28" x14ac:dyDescent="0.3">
      <c r="A236" s="8">
        <v>2</v>
      </c>
      <c r="B236" s="9" t="s">
        <v>41</v>
      </c>
      <c r="C236" s="10">
        <v>55</v>
      </c>
      <c r="D236" s="10">
        <v>1000</v>
      </c>
      <c r="E236" s="14">
        <f t="shared" si="34"/>
        <v>5.5E-2</v>
      </c>
      <c r="F236" s="6"/>
      <c r="G236" s="12">
        <v>45</v>
      </c>
      <c r="H236" s="15">
        <f t="shared" si="35"/>
        <v>2.4750000000000001</v>
      </c>
      <c r="I236" s="6"/>
      <c r="J236" s="8">
        <v>2</v>
      </c>
      <c r="K236" s="9" t="s">
        <v>41</v>
      </c>
      <c r="L236" s="10">
        <v>55</v>
      </c>
      <c r="M236" s="10">
        <v>1000</v>
      </c>
      <c r="N236" s="14">
        <f t="shared" si="36"/>
        <v>5.5E-2</v>
      </c>
      <c r="O236" s="6"/>
      <c r="P236" s="12">
        <v>45</v>
      </c>
      <c r="Q236" s="15">
        <f t="shared" si="37"/>
        <v>2.4750000000000001</v>
      </c>
      <c r="R236" s="6"/>
    </row>
    <row r="237" spans="1:28" x14ac:dyDescent="0.3">
      <c r="A237" s="8">
        <v>3</v>
      </c>
      <c r="B237" s="9" t="s">
        <v>47</v>
      </c>
      <c r="C237" s="10">
        <v>98</v>
      </c>
      <c r="D237" s="10">
        <v>2000</v>
      </c>
      <c r="E237" s="14">
        <f t="shared" si="34"/>
        <v>4.9000000000000002E-2</v>
      </c>
      <c r="F237" s="6"/>
      <c r="G237" s="12">
        <v>45</v>
      </c>
      <c r="H237" s="13">
        <f t="shared" si="35"/>
        <v>2.2050000000000001</v>
      </c>
      <c r="I237" s="6"/>
      <c r="J237" s="8">
        <v>3</v>
      </c>
      <c r="K237" s="9" t="s">
        <v>47</v>
      </c>
      <c r="L237" s="10">
        <v>98</v>
      </c>
      <c r="M237" s="10">
        <v>2000</v>
      </c>
      <c r="N237" s="14">
        <f t="shared" si="36"/>
        <v>4.9000000000000002E-2</v>
      </c>
      <c r="O237" s="6"/>
      <c r="P237" s="12">
        <v>45</v>
      </c>
      <c r="Q237" s="13">
        <f t="shared" si="37"/>
        <v>2.2050000000000001</v>
      </c>
      <c r="R237" s="6"/>
    </row>
    <row r="238" spans="1:28" x14ac:dyDescent="0.3">
      <c r="A238" s="8">
        <v>4</v>
      </c>
      <c r="B238" s="9" t="s">
        <v>26</v>
      </c>
      <c r="C238" s="10">
        <v>118</v>
      </c>
      <c r="D238" s="10">
        <v>2000</v>
      </c>
      <c r="E238" s="14">
        <f t="shared" si="34"/>
        <v>5.8999999999999997E-2</v>
      </c>
      <c r="F238" s="6"/>
      <c r="G238" s="12">
        <v>30</v>
      </c>
      <c r="H238" s="13">
        <f t="shared" si="35"/>
        <v>1.77</v>
      </c>
      <c r="I238" s="6"/>
      <c r="J238" s="8">
        <v>4</v>
      </c>
      <c r="K238" s="9" t="s">
        <v>26</v>
      </c>
      <c r="L238" s="10">
        <v>118</v>
      </c>
      <c r="M238" s="10">
        <v>2000</v>
      </c>
      <c r="N238" s="14">
        <f t="shared" si="36"/>
        <v>5.8999999999999997E-2</v>
      </c>
      <c r="O238" s="6"/>
      <c r="P238" s="12">
        <v>30</v>
      </c>
      <c r="Q238" s="13">
        <f t="shared" si="37"/>
        <v>1.77</v>
      </c>
      <c r="R238" s="6"/>
    </row>
    <row r="239" spans="1:28" x14ac:dyDescent="0.3">
      <c r="A239" s="8">
        <v>5</v>
      </c>
      <c r="B239" s="9" t="s">
        <v>28</v>
      </c>
      <c r="C239" s="10">
        <v>100</v>
      </c>
      <c r="D239" s="10">
        <v>50</v>
      </c>
      <c r="E239" s="14">
        <f t="shared" si="34"/>
        <v>2</v>
      </c>
      <c r="F239" s="6"/>
      <c r="G239" s="12">
        <v>1</v>
      </c>
      <c r="H239" s="13">
        <f t="shared" si="35"/>
        <v>2</v>
      </c>
      <c r="I239" s="6"/>
      <c r="J239" s="8">
        <v>5</v>
      </c>
      <c r="K239" s="9" t="s">
        <v>28</v>
      </c>
      <c r="L239" s="10">
        <v>100</v>
      </c>
      <c r="M239" s="10">
        <v>50</v>
      </c>
      <c r="N239" s="14">
        <f t="shared" si="36"/>
        <v>2</v>
      </c>
      <c r="O239" s="6"/>
      <c r="P239" s="12">
        <v>1</v>
      </c>
      <c r="Q239" s="13">
        <f t="shared" si="37"/>
        <v>2</v>
      </c>
      <c r="R239" s="6"/>
    </row>
    <row r="240" spans="1:28" x14ac:dyDescent="0.3">
      <c r="A240" s="8">
        <v>6</v>
      </c>
      <c r="B240" s="9" t="s">
        <v>29</v>
      </c>
      <c r="C240" s="10">
        <v>19</v>
      </c>
      <c r="D240" s="10">
        <v>100</v>
      </c>
      <c r="E240" s="14">
        <f t="shared" si="34"/>
        <v>0.19</v>
      </c>
      <c r="F240" s="6"/>
      <c r="G240" s="12">
        <v>1</v>
      </c>
      <c r="H240" s="13">
        <f t="shared" si="35"/>
        <v>0.19</v>
      </c>
      <c r="I240" s="6"/>
      <c r="J240" s="8">
        <v>6</v>
      </c>
      <c r="K240" s="9" t="s">
        <v>29</v>
      </c>
      <c r="L240" s="10">
        <v>19</v>
      </c>
      <c r="M240" s="10">
        <v>100</v>
      </c>
      <c r="N240" s="14">
        <f t="shared" si="36"/>
        <v>0.19</v>
      </c>
      <c r="O240" s="6"/>
      <c r="P240" s="12">
        <v>1</v>
      </c>
      <c r="Q240" s="13">
        <f t="shared" si="37"/>
        <v>0.19</v>
      </c>
      <c r="R240" s="6"/>
    </row>
    <row r="241" spans="1:28" x14ac:dyDescent="0.3">
      <c r="A241" s="8">
        <v>7</v>
      </c>
      <c r="B241" s="9" t="s">
        <v>78</v>
      </c>
      <c r="C241" s="10">
        <v>98</v>
      </c>
      <c r="D241" s="10">
        <v>2000</v>
      </c>
      <c r="E241" s="14">
        <f t="shared" si="34"/>
        <v>4.9000000000000002E-2</v>
      </c>
      <c r="F241" s="6"/>
      <c r="G241" s="12">
        <v>50</v>
      </c>
      <c r="H241" s="13">
        <f t="shared" si="35"/>
        <v>2.4500000000000002</v>
      </c>
      <c r="I241" s="6"/>
      <c r="J241" s="8">
        <v>7</v>
      </c>
      <c r="K241" s="9" t="s">
        <v>78</v>
      </c>
      <c r="L241" s="10">
        <v>98</v>
      </c>
      <c r="M241" s="10">
        <v>2000</v>
      </c>
      <c r="N241" s="14">
        <f t="shared" si="36"/>
        <v>4.9000000000000002E-2</v>
      </c>
      <c r="O241" s="6"/>
      <c r="P241" s="12">
        <v>50</v>
      </c>
      <c r="Q241" s="13">
        <f t="shared" si="37"/>
        <v>2.4500000000000002</v>
      </c>
      <c r="R241" s="6"/>
    </row>
    <row r="242" spans="1:28" x14ac:dyDescent="0.3">
      <c r="A242" s="8">
        <v>8</v>
      </c>
      <c r="B242" s="9"/>
      <c r="C242" s="10"/>
      <c r="D242" s="10"/>
      <c r="E242" s="14"/>
      <c r="F242" s="6"/>
      <c r="G242" s="12"/>
      <c r="H242" s="13"/>
      <c r="I242" s="6"/>
      <c r="J242" s="8">
        <v>8</v>
      </c>
      <c r="K242" s="9"/>
      <c r="L242" s="10"/>
      <c r="M242" s="10"/>
      <c r="N242" s="14"/>
      <c r="O242" s="6"/>
      <c r="P242" s="12"/>
      <c r="Q242" s="13"/>
      <c r="R242" s="6"/>
    </row>
    <row r="243" spans="1:28" x14ac:dyDescent="0.3">
      <c r="A243" s="8">
        <v>9</v>
      </c>
      <c r="B243" s="9"/>
      <c r="C243" s="10"/>
      <c r="D243" s="10"/>
      <c r="E243" s="14"/>
      <c r="F243" s="6"/>
      <c r="G243" s="12"/>
      <c r="H243" s="13"/>
      <c r="I243" s="6"/>
      <c r="J243" s="8">
        <v>9</v>
      </c>
      <c r="K243" s="9"/>
      <c r="L243" s="10"/>
      <c r="M243" s="10"/>
      <c r="N243" s="14"/>
      <c r="O243" s="6"/>
      <c r="P243" s="12"/>
      <c r="Q243" s="13"/>
      <c r="R243" s="6"/>
    </row>
    <row r="244" spans="1:28" ht="16.2" thickBot="1" x14ac:dyDescent="0.35">
      <c r="A244" s="16">
        <v>10</v>
      </c>
      <c r="B244" s="17"/>
      <c r="C244" s="18"/>
      <c r="D244" s="18"/>
      <c r="E244" s="19"/>
      <c r="F244" s="6"/>
      <c r="G244" s="12"/>
      <c r="H244" s="13"/>
      <c r="I244" s="6"/>
      <c r="J244" s="16">
        <v>10</v>
      </c>
      <c r="K244" s="17"/>
      <c r="L244" s="18"/>
      <c r="M244" s="18"/>
      <c r="N244" s="19"/>
      <c r="O244" s="6"/>
      <c r="P244" s="12"/>
      <c r="Q244" s="13"/>
      <c r="R244" s="6"/>
    </row>
    <row r="245" spans="1:28" ht="16.2" thickBot="1" x14ac:dyDescent="0.35">
      <c r="A245" s="6"/>
      <c r="B245" s="6"/>
      <c r="C245" s="6"/>
      <c r="D245" s="6"/>
      <c r="E245" s="6"/>
      <c r="F245" s="6"/>
      <c r="G245" s="20" t="s">
        <v>18</v>
      </c>
      <c r="H245" s="21">
        <f>SUM(H235:H244)</f>
        <v>21.89</v>
      </c>
      <c r="I245" s="6"/>
      <c r="J245" s="6"/>
      <c r="K245" s="6"/>
      <c r="L245" s="6"/>
      <c r="M245" s="6"/>
      <c r="N245" s="6"/>
      <c r="O245" s="6"/>
      <c r="P245" s="20" t="s">
        <v>18</v>
      </c>
      <c r="Q245" s="21">
        <f>SUM(Q235:Q244)</f>
        <v>29.09</v>
      </c>
      <c r="R245" s="6"/>
    </row>
    <row r="246" spans="1:28" ht="16.2" thickBot="1" x14ac:dyDescent="0.35">
      <c r="A246" s="6"/>
      <c r="B246" s="6"/>
      <c r="C246" s="6"/>
      <c r="D246" s="6"/>
      <c r="E246" s="6"/>
      <c r="F246" s="6"/>
      <c r="G246" s="22"/>
      <c r="H246" s="23"/>
      <c r="I246" s="6"/>
      <c r="J246" s="6"/>
      <c r="K246" s="6"/>
      <c r="L246" s="6"/>
      <c r="M246" s="6"/>
      <c r="N246" s="6"/>
      <c r="O246" s="6"/>
      <c r="P246" s="22"/>
      <c r="Q246" s="23"/>
      <c r="R246" s="6"/>
    </row>
    <row r="247" spans="1:28" x14ac:dyDescent="0.3">
      <c r="A247" s="110" t="s">
        <v>19</v>
      </c>
      <c r="B247" s="111"/>
      <c r="C247" s="111"/>
      <c r="D247" s="111"/>
      <c r="E247" s="111"/>
      <c r="F247" s="111"/>
      <c r="G247" s="111"/>
      <c r="H247" s="112"/>
      <c r="I247" s="6"/>
      <c r="J247" s="110" t="s">
        <v>19</v>
      </c>
      <c r="K247" s="111"/>
      <c r="L247" s="111"/>
      <c r="M247" s="111"/>
      <c r="N247" s="111"/>
      <c r="O247" s="111"/>
      <c r="P247" s="111"/>
      <c r="Q247" s="112"/>
      <c r="R247" s="6"/>
    </row>
    <row r="248" spans="1:28" x14ac:dyDescent="0.3">
      <c r="A248" s="113" t="s">
        <v>20</v>
      </c>
      <c r="B248" s="114"/>
      <c r="C248" s="115"/>
      <c r="D248" s="116">
        <f>H245</f>
        <v>21.89</v>
      </c>
      <c r="E248" s="116"/>
      <c r="F248" s="117" t="s">
        <v>21</v>
      </c>
      <c r="G248" s="118"/>
      <c r="H248" s="24">
        <f>D248*30%+D248</f>
        <v>28.457000000000001</v>
      </c>
      <c r="I248" s="6"/>
      <c r="J248" s="113" t="s">
        <v>20</v>
      </c>
      <c r="K248" s="114"/>
      <c r="L248" s="115"/>
      <c r="M248" s="116">
        <f>Q245</f>
        <v>29.09</v>
      </c>
      <c r="N248" s="116"/>
      <c r="O248" s="117" t="s">
        <v>21</v>
      </c>
      <c r="P248" s="118"/>
      <c r="Q248" s="24">
        <f>M248*30%+M248</f>
        <v>37.817</v>
      </c>
      <c r="R248" s="6"/>
    </row>
    <row r="249" spans="1:28" ht="16.2" thickBot="1" x14ac:dyDescent="0.35">
      <c r="A249" s="119" t="s">
        <v>22</v>
      </c>
      <c r="B249" s="120"/>
      <c r="C249" s="121"/>
      <c r="D249" s="122">
        <f>H248</f>
        <v>28.457000000000001</v>
      </c>
      <c r="E249" s="122"/>
      <c r="F249" s="123">
        <v>1.6</v>
      </c>
      <c r="G249" s="124"/>
      <c r="H249" s="25">
        <f>D249*F249</f>
        <v>45.531200000000005</v>
      </c>
      <c r="I249" s="6"/>
      <c r="J249" s="119" t="s">
        <v>22</v>
      </c>
      <c r="K249" s="120"/>
      <c r="L249" s="121"/>
      <c r="M249" s="122">
        <f>Q248</f>
        <v>37.817</v>
      </c>
      <c r="N249" s="122"/>
      <c r="O249" s="123">
        <v>1.6</v>
      </c>
      <c r="P249" s="124"/>
      <c r="Q249" s="25">
        <f>M249*O249</f>
        <v>60.507200000000005</v>
      </c>
      <c r="R249" s="6"/>
    </row>
    <row r="250" spans="1:28" ht="16.2" thickBot="1" x14ac:dyDescent="0.35">
      <c r="A250" s="26"/>
      <c r="B250" s="26"/>
      <c r="C250" s="26"/>
      <c r="D250" s="27"/>
      <c r="E250" s="27"/>
      <c r="F250" s="22"/>
      <c r="G250" s="22"/>
      <c r="H250" s="28"/>
      <c r="I250" s="6"/>
      <c r="J250" s="26"/>
      <c r="K250" s="26"/>
      <c r="L250" s="26"/>
      <c r="M250" s="27"/>
      <c r="N250" s="27"/>
      <c r="O250" s="22"/>
      <c r="P250" s="22"/>
      <c r="Q250" s="28"/>
      <c r="R250" s="6"/>
    </row>
    <row r="251" spans="1:28" ht="16.2" thickBot="1" x14ac:dyDescent="0.35">
      <c r="A251" s="139" t="s">
        <v>23</v>
      </c>
      <c r="B251" s="140"/>
      <c r="C251" s="141"/>
      <c r="D251" s="205">
        <v>1</v>
      </c>
      <c r="E251" s="206"/>
      <c r="F251" s="207" t="s">
        <v>24</v>
      </c>
      <c r="G251" s="208"/>
      <c r="H251" s="29">
        <f>H249/D251</f>
        <v>45.531200000000005</v>
      </c>
      <c r="I251" s="6"/>
      <c r="J251" s="139" t="s">
        <v>23</v>
      </c>
      <c r="K251" s="140"/>
      <c r="L251" s="141"/>
      <c r="M251" s="205">
        <v>1</v>
      </c>
      <c r="N251" s="206"/>
      <c r="O251" s="207" t="s">
        <v>24</v>
      </c>
      <c r="P251" s="208"/>
      <c r="Q251" s="29">
        <f>Q249/M251</f>
        <v>60.507200000000005</v>
      </c>
      <c r="R251" s="6"/>
    </row>
    <row r="252" spans="1:28" ht="16.2" thickBot="1" x14ac:dyDescent="0.35"/>
    <row r="253" spans="1:28" x14ac:dyDescent="0.3">
      <c r="A253" s="125" t="s">
        <v>9</v>
      </c>
      <c r="B253" s="127" t="s">
        <v>10</v>
      </c>
      <c r="C253" s="127" t="s">
        <v>11</v>
      </c>
      <c r="D253" s="5" t="s">
        <v>12</v>
      </c>
      <c r="E253" s="129" t="s">
        <v>13</v>
      </c>
      <c r="F253" s="6"/>
      <c r="G253" s="131" t="s">
        <v>14</v>
      </c>
      <c r="H253" s="133" t="s">
        <v>15</v>
      </c>
      <c r="I253" s="210" t="s">
        <v>38</v>
      </c>
      <c r="J253" s="125" t="s">
        <v>9</v>
      </c>
      <c r="K253" s="127" t="s">
        <v>10</v>
      </c>
      <c r="L253" s="127" t="s">
        <v>11</v>
      </c>
      <c r="M253" s="5" t="s">
        <v>12</v>
      </c>
      <c r="N253" s="129" t="s">
        <v>13</v>
      </c>
      <c r="O253" s="6"/>
      <c r="P253" s="131" t="s">
        <v>14</v>
      </c>
      <c r="Q253" s="133" t="s">
        <v>15</v>
      </c>
      <c r="R253" s="210" t="s">
        <v>99</v>
      </c>
      <c r="T253" s="125" t="s">
        <v>9</v>
      </c>
      <c r="U253" s="127" t="s">
        <v>10</v>
      </c>
      <c r="V253" s="127" t="s">
        <v>11</v>
      </c>
      <c r="W253" s="5" t="s">
        <v>12</v>
      </c>
      <c r="X253" s="129" t="s">
        <v>13</v>
      </c>
      <c r="Y253" s="6"/>
      <c r="Z253" s="131" t="s">
        <v>14</v>
      </c>
      <c r="AA253" s="133" t="s">
        <v>15</v>
      </c>
      <c r="AB253" s="210" t="s">
        <v>106</v>
      </c>
    </row>
    <row r="254" spans="1:28" x14ac:dyDescent="0.3">
      <c r="A254" s="126"/>
      <c r="B254" s="128"/>
      <c r="C254" s="128"/>
      <c r="D254" s="7" t="s">
        <v>16</v>
      </c>
      <c r="E254" s="130"/>
      <c r="F254" s="6"/>
      <c r="G254" s="132"/>
      <c r="H254" s="134"/>
      <c r="I254" s="210"/>
      <c r="J254" s="126"/>
      <c r="K254" s="128"/>
      <c r="L254" s="128"/>
      <c r="M254" s="7" t="s">
        <v>16</v>
      </c>
      <c r="N254" s="130"/>
      <c r="O254" s="6"/>
      <c r="P254" s="132"/>
      <c r="Q254" s="134"/>
      <c r="R254" s="210"/>
      <c r="T254" s="126"/>
      <c r="U254" s="128"/>
      <c r="V254" s="128"/>
      <c r="W254" s="7" t="s">
        <v>16</v>
      </c>
      <c r="X254" s="130"/>
      <c r="Y254" s="6"/>
      <c r="Z254" s="132"/>
      <c r="AA254" s="134"/>
      <c r="AB254" s="210"/>
    </row>
    <row r="255" spans="1:28" x14ac:dyDescent="0.3">
      <c r="A255" s="8">
        <v>1</v>
      </c>
      <c r="B255" s="9" t="s">
        <v>108</v>
      </c>
      <c r="C255" s="10">
        <v>600</v>
      </c>
      <c r="D255" s="10">
        <v>1000</v>
      </c>
      <c r="E255" s="11">
        <f t="shared" ref="E255:E261" si="38">C255/D255</f>
        <v>0.6</v>
      </c>
      <c r="F255" s="6"/>
      <c r="G255" s="12">
        <v>18</v>
      </c>
      <c r="H255" s="13">
        <f t="shared" ref="H255:H261" si="39">G255*E255</f>
        <v>10.799999999999999</v>
      </c>
      <c r="I255" s="6"/>
      <c r="J255" s="8">
        <v>1</v>
      </c>
      <c r="K255" s="9" t="s">
        <v>94</v>
      </c>
      <c r="L255" s="10">
        <v>1000</v>
      </c>
      <c r="M255" s="10">
        <v>1000</v>
      </c>
      <c r="N255" s="11">
        <f t="shared" ref="N255:N261" si="40">L255/M255</f>
        <v>1</v>
      </c>
      <c r="O255" s="6"/>
      <c r="P255" s="12">
        <v>18</v>
      </c>
      <c r="Q255" s="13">
        <f t="shared" ref="Q255:Q261" si="41">P255*N255</f>
        <v>18</v>
      </c>
      <c r="R255" s="6"/>
      <c r="T255" s="8">
        <v>1</v>
      </c>
      <c r="U255" s="9" t="s">
        <v>104</v>
      </c>
      <c r="V255" s="10">
        <v>480</v>
      </c>
      <c r="W255" s="10">
        <v>1000</v>
      </c>
      <c r="X255" s="11">
        <f t="shared" ref="X255:X261" si="42">V255/W255</f>
        <v>0.48</v>
      </c>
      <c r="Y255" s="6"/>
      <c r="Z255" s="12">
        <v>18</v>
      </c>
      <c r="AA255" s="13">
        <f t="shared" ref="AA255:AA261" si="43">Z255*X255</f>
        <v>8.64</v>
      </c>
      <c r="AB255" s="6"/>
    </row>
    <row r="256" spans="1:28" x14ac:dyDescent="0.3">
      <c r="A256" s="8">
        <v>2</v>
      </c>
      <c r="B256" s="9" t="s">
        <v>49</v>
      </c>
      <c r="C256" s="10">
        <v>98</v>
      </c>
      <c r="D256" s="10">
        <v>2000</v>
      </c>
      <c r="E256" s="14">
        <f t="shared" si="38"/>
        <v>4.9000000000000002E-2</v>
      </c>
      <c r="F256" s="6"/>
      <c r="G256" s="12">
        <v>120</v>
      </c>
      <c r="H256" s="15">
        <f t="shared" si="39"/>
        <v>5.88</v>
      </c>
      <c r="I256" s="6"/>
      <c r="J256" s="8">
        <v>2</v>
      </c>
      <c r="K256" s="9" t="s">
        <v>49</v>
      </c>
      <c r="L256" s="10">
        <v>98</v>
      </c>
      <c r="M256" s="10">
        <v>2000</v>
      </c>
      <c r="N256" s="14">
        <f t="shared" si="40"/>
        <v>4.9000000000000002E-2</v>
      </c>
      <c r="O256" s="6"/>
      <c r="P256" s="12">
        <v>120</v>
      </c>
      <c r="Q256" s="15">
        <f t="shared" si="41"/>
        <v>5.88</v>
      </c>
      <c r="R256" s="6"/>
      <c r="T256" s="8">
        <v>2</v>
      </c>
      <c r="U256" s="9" t="s">
        <v>49</v>
      </c>
      <c r="V256" s="10">
        <v>98</v>
      </c>
      <c r="W256" s="10">
        <v>2000</v>
      </c>
      <c r="X256" s="14">
        <f t="shared" si="42"/>
        <v>4.9000000000000002E-2</v>
      </c>
      <c r="Y256" s="6"/>
      <c r="Z256" s="12">
        <v>120</v>
      </c>
      <c r="AA256" s="15">
        <f t="shared" si="43"/>
        <v>5.88</v>
      </c>
      <c r="AB256" s="6"/>
    </row>
    <row r="257" spans="1:28" x14ac:dyDescent="0.3">
      <c r="A257" s="8">
        <v>3</v>
      </c>
      <c r="B257" s="9" t="s">
        <v>26</v>
      </c>
      <c r="C257" s="10">
        <v>118</v>
      </c>
      <c r="D257" s="10">
        <v>2000</v>
      </c>
      <c r="E257" s="14">
        <f t="shared" si="38"/>
        <v>5.8999999999999997E-2</v>
      </c>
      <c r="F257" s="6"/>
      <c r="G257" s="12">
        <v>20</v>
      </c>
      <c r="H257" s="13">
        <f t="shared" si="39"/>
        <v>1.18</v>
      </c>
      <c r="I257" s="6"/>
      <c r="J257" s="8">
        <v>3</v>
      </c>
      <c r="K257" s="9" t="s">
        <v>26</v>
      </c>
      <c r="L257" s="10">
        <v>118</v>
      </c>
      <c r="M257" s="10">
        <v>2000</v>
      </c>
      <c r="N257" s="14">
        <f t="shared" si="40"/>
        <v>5.8999999999999997E-2</v>
      </c>
      <c r="O257" s="6"/>
      <c r="P257" s="12">
        <v>20</v>
      </c>
      <c r="Q257" s="13">
        <f t="shared" si="41"/>
        <v>1.18</v>
      </c>
      <c r="R257" s="6"/>
      <c r="T257" s="8">
        <v>3</v>
      </c>
      <c r="U257" s="9" t="s">
        <v>26</v>
      </c>
      <c r="V257" s="10">
        <v>118</v>
      </c>
      <c r="W257" s="10">
        <v>2000</v>
      </c>
      <c r="X257" s="14">
        <f t="shared" si="42"/>
        <v>5.8999999999999997E-2</v>
      </c>
      <c r="Y257" s="6"/>
      <c r="Z257" s="12">
        <v>5</v>
      </c>
      <c r="AA257" s="13">
        <f t="shared" si="43"/>
        <v>0.29499999999999998</v>
      </c>
      <c r="AB257" s="6"/>
    </row>
    <row r="258" spans="1:28" x14ac:dyDescent="0.3">
      <c r="A258" s="8">
        <v>4</v>
      </c>
      <c r="B258" s="9"/>
      <c r="C258" s="10">
        <v>0</v>
      </c>
      <c r="D258" s="10">
        <v>1000</v>
      </c>
      <c r="E258" s="14">
        <f t="shared" si="38"/>
        <v>0</v>
      </c>
      <c r="F258" s="6"/>
      <c r="G258" s="12">
        <v>0</v>
      </c>
      <c r="H258" s="13">
        <f t="shared" si="39"/>
        <v>0</v>
      </c>
      <c r="I258" s="6"/>
      <c r="J258" s="8">
        <v>4</v>
      </c>
      <c r="K258" s="9"/>
      <c r="L258" s="10">
        <v>0</v>
      </c>
      <c r="M258" s="10">
        <v>1000</v>
      </c>
      <c r="N258" s="14">
        <f t="shared" si="40"/>
        <v>0</v>
      </c>
      <c r="O258" s="6"/>
      <c r="P258" s="12">
        <v>0</v>
      </c>
      <c r="Q258" s="13">
        <f t="shared" si="41"/>
        <v>0</v>
      </c>
      <c r="R258" s="6"/>
      <c r="T258" s="8">
        <v>4</v>
      </c>
      <c r="U258" s="9"/>
      <c r="V258" s="10">
        <v>0</v>
      </c>
      <c r="W258" s="10">
        <v>1000</v>
      </c>
      <c r="X258" s="14">
        <f t="shared" si="42"/>
        <v>0</v>
      </c>
      <c r="Y258" s="6"/>
      <c r="Z258" s="12">
        <v>0</v>
      </c>
      <c r="AA258" s="13">
        <f t="shared" si="43"/>
        <v>0</v>
      </c>
      <c r="AB258" s="6"/>
    </row>
    <row r="259" spans="1:28" x14ac:dyDescent="0.3">
      <c r="A259" s="8">
        <v>5</v>
      </c>
      <c r="B259" s="9" t="s">
        <v>28</v>
      </c>
      <c r="C259" s="10">
        <v>100</v>
      </c>
      <c r="D259" s="10">
        <v>50</v>
      </c>
      <c r="E259" s="14">
        <f t="shared" si="38"/>
        <v>2</v>
      </c>
      <c r="F259" s="6"/>
      <c r="G259" s="12">
        <v>1</v>
      </c>
      <c r="H259" s="13">
        <f t="shared" si="39"/>
        <v>2</v>
      </c>
      <c r="I259" s="6"/>
      <c r="J259" s="8">
        <v>5</v>
      </c>
      <c r="K259" s="9" t="s">
        <v>28</v>
      </c>
      <c r="L259" s="10">
        <v>100</v>
      </c>
      <c r="M259" s="10">
        <v>50</v>
      </c>
      <c r="N259" s="14">
        <f t="shared" si="40"/>
        <v>2</v>
      </c>
      <c r="O259" s="6"/>
      <c r="P259" s="12">
        <v>1</v>
      </c>
      <c r="Q259" s="13">
        <f t="shared" si="41"/>
        <v>2</v>
      </c>
      <c r="R259" s="6"/>
      <c r="T259" s="8">
        <v>5</v>
      </c>
      <c r="U259" s="9" t="s">
        <v>28</v>
      </c>
      <c r="V259" s="10">
        <v>100</v>
      </c>
      <c r="W259" s="10">
        <v>50</v>
      </c>
      <c r="X259" s="14">
        <f t="shared" si="42"/>
        <v>2</v>
      </c>
      <c r="Y259" s="6"/>
      <c r="Z259" s="12">
        <v>1</v>
      </c>
      <c r="AA259" s="13">
        <f t="shared" si="43"/>
        <v>2</v>
      </c>
      <c r="AB259" s="6"/>
    </row>
    <row r="260" spans="1:28" x14ac:dyDescent="0.3">
      <c r="A260" s="8">
        <v>6</v>
      </c>
      <c r="B260" s="9" t="s">
        <v>29</v>
      </c>
      <c r="C260" s="10">
        <v>19</v>
      </c>
      <c r="D260" s="10">
        <v>100</v>
      </c>
      <c r="E260" s="14">
        <f t="shared" si="38"/>
        <v>0.19</v>
      </c>
      <c r="F260" s="6"/>
      <c r="G260" s="12">
        <v>1</v>
      </c>
      <c r="H260" s="13">
        <f t="shared" si="39"/>
        <v>0.19</v>
      </c>
      <c r="I260" s="6"/>
      <c r="J260" s="8">
        <v>6</v>
      </c>
      <c r="K260" s="9" t="s">
        <v>29</v>
      </c>
      <c r="L260" s="10">
        <v>19</v>
      </c>
      <c r="M260" s="10">
        <v>100</v>
      </c>
      <c r="N260" s="14">
        <f t="shared" si="40"/>
        <v>0.19</v>
      </c>
      <c r="O260" s="6"/>
      <c r="P260" s="12">
        <v>1</v>
      </c>
      <c r="Q260" s="13">
        <f t="shared" si="41"/>
        <v>0.19</v>
      </c>
      <c r="R260" s="6"/>
      <c r="T260" s="8">
        <v>6</v>
      </c>
      <c r="U260" s="9" t="s">
        <v>29</v>
      </c>
      <c r="V260" s="10">
        <v>19</v>
      </c>
      <c r="W260" s="10">
        <v>100</v>
      </c>
      <c r="X260" s="14">
        <f t="shared" si="42"/>
        <v>0.19</v>
      </c>
      <c r="Y260" s="6"/>
      <c r="Z260" s="12">
        <v>1</v>
      </c>
      <c r="AA260" s="13">
        <f t="shared" si="43"/>
        <v>0.19</v>
      </c>
      <c r="AB260" s="6"/>
    </row>
    <row r="261" spans="1:28" x14ac:dyDescent="0.3">
      <c r="A261" s="8">
        <v>7</v>
      </c>
      <c r="B261" s="9"/>
      <c r="C261" s="10">
        <v>0</v>
      </c>
      <c r="D261" s="10">
        <v>100</v>
      </c>
      <c r="E261" s="14">
        <f t="shared" si="38"/>
        <v>0</v>
      </c>
      <c r="F261" s="6"/>
      <c r="G261" s="12">
        <v>1</v>
      </c>
      <c r="H261" s="13">
        <f t="shared" si="39"/>
        <v>0</v>
      </c>
      <c r="I261" s="6"/>
      <c r="J261" s="8">
        <v>7</v>
      </c>
      <c r="K261" s="9"/>
      <c r="L261" s="10">
        <v>0</v>
      </c>
      <c r="M261" s="10">
        <v>100</v>
      </c>
      <c r="N261" s="14">
        <f t="shared" si="40"/>
        <v>0</v>
      </c>
      <c r="O261" s="6"/>
      <c r="P261" s="12">
        <v>1</v>
      </c>
      <c r="Q261" s="13">
        <f t="shared" si="41"/>
        <v>0</v>
      </c>
      <c r="R261" s="6"/>
      <c r="T261" s="8">
        <v>7</v>
      </c>
      <c r="U261" s="9" t="s">
        <v>116</v>
      </c>
      <c r="V261" s="10">
        <v>390</v>
      </c>
      <c r="W261" s="10">
        <v>700</v>
      </c>
      <c r="X261" s="14">
        <f t="shared" si="42"/>
        <v>0.55714285714285716</v>
      </c>
      <c r="Y261" s="6"/>
      <c r="Z261" s="12">
        <v>15</v>
      </c>
      <c r="AA261" s="13">
        <f t="shared" si="43"/>
        <v>8.3571428571428577</v>
      </c>
      <c r="AB261" s="6"/>
    </row>
    <row r="262" spans="1:28" x14ac:dyDescent="0.3">
      <c r="A262" s="8">
        <v>8</v>
      </c>
      <c r="B262" s="9"/>
      <c r="C262" s="10"/>
      <c r="D262" s="10"/>
      <c r="E262" s="14"/>
      <c r="F262" s="6"/>
      <c r="G262" s="12"/>
      <c r="H262" s="13"/>
      <c r="I262" s="6"/>
      <c r="J262" s="8">
        <v>8</v>
      </c>
      <c r="K262" s="9"/>
      <c r="L262" s="10"/>
      <c r="M262" s="10"/>
      <c r="N262" s="14"/>
      <c r="O262" s="6"/>
      <c r="P262" s="12"/>
      <c r="Q262" s="13"/>
      <c r="R262" s="6"/>
      <c r="T262" s="8">
        <v>8</v>
      </c>
      <c r="U262" s="9"/>
      <c r="V262" s="10"/>
      <c r="W262" s="10"/>
      <c r="X262" s="14"/>
      <c r="Y262" s="6"/>
      <c r="Z262" s="12"/>
      <c r="AA262" s="13"/>
      <c r="AB262" s="6"/>
    </row>
    <row r="263" spans="1:28" x14ac:dyDescent="0.3">
      <c r="A263" s="8">
        <v>9</v>
      </c>
      <c r="B263" s="9"/>
      <c r="C263" s="10"/>
      <c r="D263" s="10"/>
      <c r="E263" s="14"/>
      <c r="F263" s="6"/>
      <c r="G263" s="12"/>
      <c r="H263" s="13"/>
      <c r="I263" s="6"/>
      <c r="J263" s="8">
        <v>9</v>
      </c>
      <c r="K263" s="9"/>
      <c r="L263" s="10"/>
      <c r="M263" s="10"/>
      <c r="N263" s="14"/>
      <c r="O263" s="6"/>
      <c r="P263" s="12"/>
      <c r="Q263" s="13"/>
      <c r="R263" s="6"/>
      <c r="T263" s="8">
        <v>9</v>
      </c>
      <c r="U263" s="9"/>
      <c r="V263" s="10"/>
      <c r="W263" s="10"/>
      <c r="X263" s="14"/>
      <c r="Y263" s="6"/>
      <c r="Z263" s="12"/>
      <c r="AA263" s="13"/>
      <c r="AB263" s="6"/>
    </row>
    <row r="264" spans="1:28" ht="16.2" thickBot="1" x14ac:dyDescent="0.35">
      <c r="A264" s="16">
        <v>10</v>
      </c>
      <c r="B264" s="17"/>
      <c r="C264" s="18"/>
      <c r="D264" s="18"/>
      <c r="E264" s="19"/>
      <c r="F264" s="6"/>
      <c r="G264" s="12"/>
      <c r="H264" s="13"/>
      <c r="I264" s="6"/>
      <c r="J264" s="16">
        <v>10</v>
      </c>
      <c r="K264" s="17"/>
      <c r="L264" s="18"/>
      <c r="M264" s="18"/>
      <c r="N264" s="19"/>
      <c r="O264" s="6"/>
      <c r="P264" s="12"/>
      <c r="Q264" s="13"/>
      <c r="R264" s="6"/>
      <c r="T264" s="16">
        <v>10</v>
      </c>
      <c r="U264" s="17"/>
      <c r="V264" s="18"/>
      <c r="W264" s="18"/>
      <c r="X264" s="19"/>
      <c r="Y264" s="6"/>
      <c r="Z264" s="12"/>
      <c r="AA264" s="13"/>
      <c r="AB264" s="6"/>
    </row>
    <row r="265" spans="1:28" ht="16.2" thickBot="1" x14ac:dyDescent="0.35">
      <c r="A265" s="6"/>
      <c r="B265" s="6"/>
      <c r="C265" s="6"/>
      <c r="D265" s="6"/>
      <c r="E265" s="6"/>
      <c r="F265" s="6"/>
      <c r="G265" s="20" t="s">
        <v>18</v>
      </c>
      <c r="H265" s="21">
        <f>SUM(H255:H264)</f>
        <v>20.05</v>
      </c>
      <c r="I265" s="6"/>
      <c r="J265" s="6"/>
      <c r="K265" s="6"/>
      <c r="L265" s="6"/>
      <c r="M265" s="6"/>
      <c r="N265" s="6"/>
      <c r="O265" s="6"/>
      <c r="P265" s="20" t="s">
        <v>18</v>
      </c>
      <c r="Q265" s="21">
        <f>SUM(Q255:Q264)</f>
        <v>27.25</v>
      </c>
      <c r="R265" s="6"/>
      <c r="T265" s="6"/>
      <c r="U265" s="6"/>
      <c r="V265" s="6"/>
      <c r="W265" s="6"/>
      <c r="X265" s="6"/>
      <c r="Y265" s="6"/>
      <c r="Z265" s="20" t="s">
        <v>18</v>
      </c>
      <c r="AA265" s="21">
        <f>SUM(AA255:AA264)</f>
        <v>25.362142857142857</v>
      </c>
      <c r="AB265" s="6"/>
    </row>
    <row r="266" spans="1:28" ht="16.2" thickBo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x14ac:dyDescent="0.3">
      <c r="A267" s="110" t="s">
        <v>19</v>
      </c>
      <c r="B267" s="111"/>
      <c r="C267" s="111"/>
      <c r="D267" s="111"/>
      <c r="E267" s="111"/>
      <c r="F267" s="111"/>
      <c r="G267" s="111"/>
      <c r="H267" s="112"/>
      <c r="I267" s="6"/>
      <c r="J267" s="110" t="s">
        <v>19</v>
      </c>
      <c r="K267" s="111"/>
      <c r="L267" s="111"/>
      <c r="M267" s="111"/>
      <c r="N267" s="111"/>
      <c r="O267" s="111"/>
      <c r="P267" s="111"/>
      <c r="Q267" s="112"/>
      <c r="R267" s="6"/>
      <c r="T267" s="110" t="s">
        <v>19</v>
      </c>
      <c r="U267" s="111"/>
      <c r="V267" s="111"/>
      <c r="W267" s="111"/>
      <c r="X267" s="111"/>
      <c r="Y267" s="111"/>
      <c r="Z267" s="111"/>
      <c r="AA267" s="112"/>
      <c r="AB267" s="6"/>
    </row>
    <row r="268" spans="1:28" x14ac:dyDescent="0.3">
      <c r="A268" s="113" t="s">
        <v>20</v>
      </c>
      <c r="B268" s="114"/>
      <c r="C268" s="115"/>
      <c r="D268" s="116">
        <f>H265</f>
        <v>20.05</v>
      </c>
      <c r="E268" s="116"/>
      <c r="F268" s="117" t="s">
        <v>21</v>
      </c>
      <c r="G268" s="118"/>
      <c r="H268" s="24">
        <f>D268*30%+D268</f>
        <v>26.065000000000001</v>
      </c>
      <c r="I268" s="6"/>
      <c r="J268" s="113" t="s">
        <v>20</v>
      </c>
      <c r="K268" s="114"/>
      <c r="L268" s="115"/>
      <c r="M268" s="116">
        <f>Q265</f>
        <v>27.25</v>
      </c>
      <c r="N268" s="116"/>
      <c r="O268" s="117" t="s">
        <v>21</v>
      </c>
      <c r="P268" s="118"/>
      <c r="Q268" s="24">
        <f>M268*30%+M268</f>
        <v>35.424999999999997</v>
      </c>
      <c r="R268" s="6"/>
      <c r="T268" s="113" t="s">
        <v>20</v>
      </c>
      <c r="U268" s="114"/>
      <c r="V268" s="115"/>
      <c r="W268" s="116">
        <f>AA265</f>
        <v>25.362142857142857</v>
      </c>
      <c r="X268" s="116"/>
      <c r="Y268" s="117" t="s">
        <v>21</v>
      </c>
      <c r="Z268" s="118"/>
      <c r="AA268" s="24">
        <f>W268*30%+W268</f>
        <v>32.970785714285711</v>
      </c>
      <c r="AB268" s="6"/>
    </row>
    <row r="269" spans="1:28" ht="16.2" thickBot="1" x14ac:dyDescent="0.35">
      <c r="A269" s="119" t="s">
        <v>22</v>
      </c>
      <c r="B269" s="120"/>
      <c r="C269" s="121"/>
      <c r="D269" s="122">
        <f>H268</f>
        <v>26.065000000000001</v>
      </c>
      <c r="E269" s="122"/>
      <c r="F269" s="123">
        <v>1.6</v>
      </c>
      <c r="G269" s="124"/>
      <c r="H269" s="25">
        <f>D269*F269</f>
        <v>41.704000000000008</v>
      </c>
      <c r="I269" s="6"/>
      <c r="J269" s="119" t="s">
        <v>22</v>
      </c>
      <c r="K269" s="120"/>
      <c r="L269" s="121"/>
      <c r="M269" s="122">
        <f>Q268</f>
        <v>35.424999999999997</v>
      </c>
      <c r="N269" s="122"/>
      <c r="O269" s="123">
        <v>1.6</v>
      </c>
      <c r="P269" s="124"/>
      <c r="Q269" s="25">
        <f>M269*O269</f>
        <v>56.68</v>
      </c>
      <c r="R269" s="6"/>
      <c r="T269" s="119" t="s">
        <v>22</v>
      </c>
      <c r="U269" s="120"/>
      <c r="V269" s="121"/>
      <c r="W269" s="122">
        <f>AA268</f>
        <v>32.970785714285711</v>
      </c>
      <c r="X269" s="122"/>
      <c r="Y269" s="123">
        <v>1.6</v>
      </c>
      <c r="Z269" s="124"/>
      <c r="AA269" s="25">
        <f>W269*Y269</f>
        <v>52.753257142857137</v>
      </c>
      <c r="AB269" s="6"/>
    </row>
    <row r="270" spans="1:28" ht="16.2" thickBot="1" x14ac:dyDescent="0.35">
      <c r="A270" s="26"/>
      <c r="B270" s="26"/>
      <c r="C270" s="26"/>
      <c r="D270" s="27"/>
      <c r="E270" s="27"/>
      <c r="F270" s="22"/>
      <c r="G270" s="22"/>
      <c r="H270" s="28"/>
      <c r="I270" s="6"/>
      <c r="J270" s="26"/>
      <c r="K270" s="26"/>
      <c r="L270" s="26"/>
      <c r="M270" s="27"/>
      <c r="N270" s="27"/>
      <c r="O270" s="22"/>
      <c r="P270" s="22"/>
      <c r="Q270" s="28"/>
      <c r="R270" s="6"/>
      <c r="T270" s="26"/>
      <c r="U270" s="26"/>
      <c r="V270" s="26"/>
      <c r="W270" s="27"/>
      <c r="X270" s="27"/>
      <c r="Y270" s="22"/>
      <c r="Z270" s="22"/>
      <c r="AA270" s="28"/>
      <c r="AB270" s="6"/>
    </row>
    <row r="271" spans="1:28" ht="16.2" thickBot="1" x14ac:dyDescent="0.35">
      <c r="A271" s="139" t="s">
        <v>23</v>
      </c>
      <c r="B271" s="140"/>
      <c r="C271" s="141"/>
      <c r="D271" s="205">
        <v>1</v>
      </c>
      <c r="E271" s="206"/>
      <c r="F271" s="207" t="s">
        <v>24</v>
      </c>
      <c r="G271" s="208"/>
      <c r="H271" s="29">
        <f>H269/D271</f>
        <v>41.704000000000008</v>
      </c>
      <c r="I271" s="6"/>
      <c r="J271" s="139" t="s">
        <v>23</v>
      </c>
      <c r="K271" s="140"/>
      <c r="L271" s="141"/>
      <c r="M271" s="205">
        <v>1</v>
      </c>
      <c r="N271" s="206"/>
      <c r="O271" s="207" t="s">
        <v>24</v>
      </c>
      <c r="P271" s="208"/>
      <c r="Q271" s="29">
        <f>Q269/M271</f>
        <v>56.68</v>
      </c>
      <c r="R271" s="6"/>
      <c r="T271" s="139" t="s">
        <v>23</v>
      </c>
      <c r="U271" s="140"/>
      <c r="V271" s="141"/>
      <c r="W271" s="205">
        <v>1</v>
      </c>
      <c r="X271" s="206"/>
      <c r="Y271" s="207" t="s">
        <v>24</v>
      </c>
      <c r="Z271" s="208"/>
      <c r="AA271" s="29">
        <f>AA269/W271</f>
        <v>52.753257142857137</v>
      </c>
      <c r="AB271" s="6"/>
    </row>
    <row r="272" spans="1:28" ht="16.2" thickBot="1" x14ac:dyDescent="0.35"/>
    <row r="273" spans="1:28" ht="16.2" thickBot="1" x14ac:dyDescent="0.35">
      <c r="A273" s="125" t="s">
        <v>9</v>
      </c>
      <c r="B273" s="127" t="s">
        <v>10</v>
      </c>
      <c r="C273" s="127" t="s">
        <v>11</v>
      </c>
      <c r="D273" s="5" t="s">
        <v>12</v>
      </c>
      <c r="E273" s="129" t="s">
        <v>13</v>
      </c>
      <c r="F273" s="6"/>
      <c r="G273" s="131" t="s">
        <v>14</v>
      </c>
      <c r="H273" s="133" t="s">
        <v>15</v>
      </c>
      <c r="I273" s="243" t="s">
        <v>59</v>
      </c>
    </row>
    <row r="274" spans="1:28" x14ac:dyDescent="0.3">
      <c r="A274" s="126"/>
      <c r="B274" s="128"/>
      <c r="C274" s="128"/>
      <c r="D274" s="7" t="s">
        <v>16</v>
      </c>
      <c r="E274" s="130"/>
      <c r="F274" s="6"/>
      <c r="G274" s="132"/>
      <c r="H274" s="134"/>
      <c r="I274" s="243"/>
      <c r="T274" s="125" t="s">
        <v>9</v>
      </c>
      <c r="U274" s="127" t="s">
        <v>10</v>
      </c>
      <c r="V274" s="127" t="s">
        <v>11</v>
      </c>
      <c r="W274" s="5" t="s">
        <v>12</v>
      </c>
      <c r="X274" s="129" t="s">
        <v>13</v>
      </c>
      <c r="Y274" s="6"/>
      <c r="Z274" s="131" t="s">
        <v>14</v>
      </c>
      <c r="AA274" s="133" t="s">
        <v>15</v>
      </c>
      <c r="AB274" s="210" t="s">
        <v>126</v>
      </c>
    </row>
    <row r="275" spans="1:28" x14ac:dyDescent="0.3">
      <c r="A275" s="8">
        <v>1</v>
      </c>
      <c r="B275" s="9" t="s">
        <v>57</v>
      </c>
      <c r="C275" s="10">
        <v>340</v>
      </c>
      <c r="D275" s="10">
        <v>1000</v>
      </c>
      <c r="E275" s="11">
        <f t="shared" ref="E275:E281" si="44">C275/D275</f>
        <v>0.34</v>
      </c>
      <c r="F275" s="6"/>
      <c r="G275" s="12">
        <v>18</v>
      </c>
      <c r="H275" s="13">
        <f t="shared" ref="H275:H281" si="45">G275*E275</f>
        <v>6.12</v>
      </c>
      <c r="I275" s="6"/>
      <c r="T275" s="126"/>
      <c r="U275" s="128"/>
      <c r="V275" s="128"/>
      <c r="W275" s="7" t="s">
        <v>16</v>
      </c>
      <c r="X275" s="130"/>
      <c r="Y275" s="6"/>
      <c r="Z275" s="132"/>
      <c r="AA275" s="134"/>
      <c r="AB275" s="210"/>
    </row>
    <row r="276" spans="1:28" x14ac:dyDescent="0.3">
      <c r="A276" s="8">
        <v>2</v>
      </c>
      <c r="B276" s="9" t="s">
        <v>60</v>
      </c>
      <c r="C276" s="10">
        <v>4.5999999999999996</v>
      </c>
      <c r="D276" s="10">
        <v>1500</v>
      </c>
      <c r="E276" s="14">
        <f t="shared" si="44"/>
        <v>3.0666666666666663E-3</v>
      </c>
      <c r="F276" s="6"/>
      <c r="G276" s="12">
        <v>80</v>
      </c>
      <c r="H276" s="15">
        <f t="shared" si="45"/>
        <v>0.24533333333333329</v>
      </c>
      <c r="I276" s="6"/>
      <c r="T276" s="8">
        <v>1</v>
      </c>
      <c r="U276" s="9" t="s">
        <v>108</v>
      </c>
      <c r="V276" s="10"/>
      <c r="W276" s="10">
        <v>1000</v>
      </c>
      <c r="X276" s="11">
        <f t="shared" ref="X276:X282" si="46">V276/W276</f>
        <v>0</v>
      </c>
      <c r="Y276" s="6"/>
      <c r="Z276" s="12">
        <v>18</v>
      </c>
      <c r="AA276" s="13">
        <f t="shared" ref="AA276:AA282" si="47">Z276*X276</f>
        <v>0</v>
      </c>
      <c r="AB276" s="6"/>
    </row>
    <row r="277" spans="1:28" x14ac:dyDescent="0.3">
      <c r="A277" s="8">
        <v>3</v>
      </c>
      <c r="B277" s="9"/>
      <c r="C277" s="10">
        <v>0</v>
      </c>
      <c r="D277" s="10">
        <v>700</v>
      </c>
      <c r="E277" s="14">
        <f t="shared" si="44"/>
        <v>0</v>
      </c>
      <c r="F277" s="6"/>
      <c r="G277" s="12">
        <v>10</v>
      </c>
      <c r="H277" s="13">
        <f t="shared" si="45"/>
        <v>0</v>
      </c>
      <c r="I277" s="6"/>
      <c r="T277" s="8">
        <v>2</v>
      </c>
      <c r="U277" s="9" t="s">
        <v>49</v>
      </c>
      <c r="V277" s="10">
        <v>98</v>
      </c>
      <c r="W277" s="10">
        <v>2000</v>
      </c>
      <c r="X277" s="14">
        <f t="shared" si="46"/>
        <v>4.9000000000000002E-2</v>
      </c>
      <c r="Y277" s="6"/>
      <c r="Z277" s="12">
        <v>120</v>
      </c>
      <c r="AA277" s="15">
        <f t="shared" si="47"/>
        <v>5.88</v>
      </c>
      <c r="AB277" s="6"/>
    </row>
    <row r="278" spans="1:28" x14ac:dyDescent="0.3">
      <c r="A278" s="8">
        <v>4</v>
      </c>
      <c r="B278" s="9"/>
      <c r="C278" s="10">
        <v>0</v>
      </c>
      <c r="D278" s="10">
        <v>2000</v>
      </c>
      <c r="E278" s="14">
        <f t="shared" si="44"/>
        <v>0</v>
      </c>
      <c r="F278" s="6"/>
      <c r="G278" s="12">
        <v>30</v>
      </c>
      <c r="H278" s="13">
        <f t="shared" si="45"/>
        <v>0</v>
      </c>
      <c r="I278" s="6"/>
      <c r="T278" s="8">
        <v>3</v>
      </c>
      <c r="U278" s="9" t="s">
        <v>26</v>
      </c>
      <c r="V278" s="10">
        <v>118</v>
      </c>
      <c r="W278" s="10">
        <v>2000</v>
      </c>
      <c r="X278" s="14">
        <f t="shared" si="46"/>
        <v>5.8999999999999997E-2</v>
      </c>
      <c r="Y278" s="6"/>
      <c r="Z278" s="12">
        <v>20</v>
      </c>
      <c r="AA278" s="13">
        <f t="shared" si="47"/>
        <v>1.18</v>
      </c>
      <c r="AB278" s="6"/>
    </row>
    <row r="279" spans="1:28" x14ac:dyDescent="0.3">
      <c r="A279" s="8">
        <v>5</v>
      </c>
      <c r="B279" s="9"/>
      <c r="C279" s="10">
        <v>0</v>
      </c>
      <c r="D279" s="10">
        <v>50</v>
      </c>
      <c r="E279" s="14">
        <f t="shared" si="44"/>
        <v>0</v>
      </c>
      <c r="F279" s="6"/>
      <c r="G279" s="12">
        <v>1</v>
      </c>
      <c r="H279" s="13">
        <f t="shared" si="45"/>
        <v>0</v>
      </c>
      <c r="I279" s="6"/>
      <c r="T279" s="8">
        <v>4</v>
      </c>
      <c r="U279" s="9"/>
      <c r="V279" s="10">
        <v>0</v>
      </c>
      <c r="W279" s="10">
        <v>1000</v>
      </c>
      <c r="X279" s="14">
        <f t="shared" si="46"/>
        <v>0</v>
      </c>
      <c r="Y279" s="6"/>
      <c r="Z279" s="12">
        <v>0</v>
      </c>
      <c r="AA279" s="13">
        <f t="shared" si="47"/>
        <v>0</v>
      </c>
      <c r="AB279" s="6"/>
    </row>
    <row r="280" spans="1:28" x14ac:dyDescent="0.3">
      <c r="A280" s="8">
        <v>6</v>
      </c>
      <c r="B280" s="9"/>
      <c r="C280" s="10">
        <v>0</v>
      </c>
      <c r="D280" s="10">
        <v>100</v>
      </c>
      <c r="E280" s="14">
        <f t="shared" si="44"/>
        <v>0</v>
      </c>
      <c r="F280" s="6"/>
      <c r="G280" s="12">
        <v>1</v>
      </c>
      <c r="H280" s="13">
        <f t="shared" si="45"/>
        <v>0</v>
      </c>
      <c r="I280" s="6"/>
      <c r="T280" s="8">
        <v>5</v>
      </c>
      <c r="U280" s="9" t="s">
        <v>28</v>
      </c>
      <c r="V280" s="10">
        <v>100</v>
      </c>
      <c r="W280" s="10">
        <v>50</v>
      </c>
      <c r="X280" s="14">
        <f t="shared" si="46"/>
        <v>2</v>
      </c>
      <c r="Y280" s="6"/>
      <c r="Z280" s="12">
        <v>1</v>
      </c>
      <c r="AA280" s="13">
        <f t="shared" si="47"/>
        <v>2</v>
      </c>
      <c r="AB280" s="6"/>
    </row>
    <row r="281" spans="1:28" x14ac:dyDescent="0.3">
      <c r="A281" s="8">
        <v>7</v>
      </c>
      <c r="B281" s="9"/>
      <c r="C281" s="10">
        <v>0</v>
      </c>
      <c r="D281" s="10">
        <v>100</v>
      </c>
      <c r="E281" s="14">
        <f t="shared" si="44"/>
        <v>0</v>
      </c>
      <c r="F281" s="6"/>
      <c r="G281" s="12">
        <v>1</v>
      </c>
      <c r="H281" s="13">
        <f t="shared" si="45"/>
        <v>0</v>
      </c>
      <c r="I281" s="6"/>
      <c r="T281" s="8">
        <v>6</v>
      </c>
      <c r="U281" s="9" t="s">
        <v>29</v>
      </c>
      <c r="V281" s="10">
        <v>19</v>
      </c>
      <c r="W281" s="10">
        <v>100</v>
      </c>
      <c r="X281" s="14">
        <f t="shared" si="46"/>
        <v>0.19</v>
      </c>
      <c r="Y281" s="6"/>
      <c r="Z281" s="12">
        <v>1</v>
      </c>
      <c r="AA281" s="13">
        <f t="shared" si="47"/>
        <v>0.19</v>
      </c>
      <c r="AB281" s="6"/>
    </row>
    <row r="282" spans="1:28" x14ac:dyDescent="0.3">
      <c r="A282" s="8">
        <v>8</v>
      </c>
      <c r="B282" s="9"/>
      <c r="C282" s="10"/>
      <c r="D282" s="10"/>
      <c r="E282" s="14"/>
      <c r="F282" s="6"/>
      <c r="G282" s="12"/>
      <c r="H282" s="13"/>
      <c r="I282" s="6"/>
      <c r="T282" s="8">
        <v>7</v>
      </c>
      <c r="U282" s="9"/>
      <c r="V282" s="10">
        <v>0</v>
      </c>
      <c r="W282" s="10">
        <v>100</v>
      </c>
      <c r="X282" s="14">
        <f t="shared" si="46"/>
        <v>0</v>
      </c>
      <c r="Y282" s="6"/>
      <c r="Z282" s="12">
        <v>1</v>
      </c>
      <c r="AA282" s="13">
        <f t="shared" si="47"/>
        <v>0</v>
      </c>
      <c r="AB282" s="6"/>
    </row>
    <row r="283" spans="1:28" x14ac:dyDescent="0.3">
      <c r="A283" s="8">
        <v>9</v>
      </c>
      <c r="B283" s="9"/>
      <c r="C283" s="10"/>
      <c r="D283" s="10"/>
      <c r="E283" s="14"/>
      <c r="F283" s="6"/>
      <c r="G283" s="12"/>
      <c r="H283" s="13"/>
      <c r="I283" s="6"/>
      <c r="T283" s="8">
        <v>8</v>
      </c>
      <c r="U283" s="9"/>
      <c r="V283" s="10"/>
      <c r="W283" s="10"/>
      <c r="X283" s="14"/>
      <c r="Y283" s="6"/>
      <c r="Z283" s="12"/>
      <c r="AA283" s="13"/>
      <c r="AB283" s="6"/>
    </row>
    <row r="284" spans="1:28" ht="16.2" thickBot="1" x14ac:dyDescent="0.35">
      <c r="A284" s="16">
        <v>10</v>
      </c>
      <c r="B284" s="17"/>
      <c r="C284" s="18"/>
      <c r="D284" s="18"/>
      <c r="E284" s="19"/>
      <c r="F284" s="6"/>
      <c r="G284" s="12"/>
      <c r="H284" s="13"/>
      <c r="I284" s="6"/>
      <c r="T284" s="8">
        <v>9</v>
      </c>
      <c r="U284" s="9"/>
      <c r="V284" s="10"/>
      <c r="W284" s="10"/>
      <c r="X284" s="14"/>
      <c r="Y284" s="6"/>
      <c r="Z284" s="12"/>
      <c r="AA284" s="13"/>
      <c r="AB284" s="6"/>
    </row>
    <row r="285" spans="1:28" ht="16.2" thickBot="1" x14ac:dyDescent="0.35">
      <c r="A285" s="6"/>
      <c r="B285" s="6"/>
      <c r="C285" s="6"/>
      <c r="D285" s="6"/>
      <c r="E285" s="6"/>
      <c r="F285" s="6"/>
      <c r="G285" s="20" t="s">
        <v>18</v>
      </c>
      <c r="H285" s="21">
        <f>SUM(H275:H284)</f>
        <v>6.3653333333333331</v>
      </c>
      <c r="I285" s="6"/>
      <c r="T285" s="16">
        <v>10</v>
      </c>
      <c r="U285" s="17"/>
      <c r="V285" s="18"/>
      <c r="W285" s="18"/>
      <c r="X285" s="19"/>
      <c r="Y285" s="6"/>
      <c r="Z285" s="12"/>
      <c r="AA285" s="13"/>
      <c r="AB285" s="6"/>
    </row>
    <row r="286" spans="1:28" ht="16.2" thickBot="1" x14ac:dyDescent="0.35">
      <c r="A286" s="6"/>
      <c r="B286" s="6"/>
      <c r="C286" s="6"/>
      <c r="D286" s="6"/>
      <c r="E286" s="6"/>
      <c r="F286" s="6"/>
      <c r="G286" s="6"/>
      <c r="H286" s="6"/>
      <c r="I286" s="6"/>
      <c r="T286" s="6"/>
      <c r="U286" s="6"/>
      <c r="V286" s="6"/>
      <c r="W286" s="6"/>
      <c r="X286" s="6"/>
      <c r="Y286" s="6"/>
      <c r="Z286" s="20" t="s">
        <v>18</v>
      </c>
      <c r="AA286" s="21">
        <f>SUM(AA276:AA285)</f>
        <v>9.2499999999999982</v>
      </c>
      <c r="AB286" s="6"/>
    </row>
    <row r="287" spans="1:28" ht="16.2" thickBot="1" x14ac:dyDescent="0.35">
      <c r="A287" s="110" t="s">
        <v>19</v>
      </c>
      <c r="B287" s="111"/>
      <c r="C287" s="111"/>
      <c r="D287" s="111"/>
      <c r="E287" s="111"/>
      <c r="F287" s="111"/>
      <c r="G287" s="111"/>
      <c r="H287" s="112"/>
      <c r="I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x14ac:dyDescent="0.3">
      <c r="A288" s="113" t="s">
        <v>20</v>
      </c>
      <c r="B288" s="114"/>
      <c r="C288" s="115"/>
      <c r="D288" s="116">
        <f>H285</f>
        <v>6.3653333333333331</v>
      </c>
      <c r="E288" s="116"/>
      <c r="F288" s="117" t="s">
        <v>21</v>
      </c>
      <c r="G288" s="118"/>
      <c r="H288" s="24">
        <f>D288*30%+D288</f>
        <v>8.2749333333333333</v>
      </c>
      <c r="I288" s="6"/>
      <c r="T288" s="110" t="s">
        <v>19</v>
      </c>
      <c r="U288" s="111"/>
      <c r="V288" s="111"/>
      <c r="W288" s="111"/>
      <c r="X288" s="111"/>
      <c r="Y288" s="111"/>
      <c r="Z288" s="111"/>
      <c r="AA288" s="112"/>
      <c r="AB288" s="6"/>
    </row>
    <row r="289" spans="1:28" ht="16.2" thickBot="1" x14ac:dyDescent="0.35">
      <c r="A289" s="119" t="s">
        <v>22</v>
      </c>
      <c r="B289" s="120"/>
      <c r="C289" s="121"/>
      <c r="D289" s="122">
        <f>H288</f>
        <v>8.2749333333333333</v>
      </c>
      <c r="E289" s="122"/>
      <c r="F289" s="123">
        <v>1.6</v>
      </c>
      <c r="G289" s="124"/>
      <c r="H289" s="25">
        <f>D289*F289</f>
        <v>13.239893333333335</v>
      </c>
      <c r="I289" s="6"/>
      <c r="T289" s="113" t="s">
        <v>20</v>
      </c>
      <c r="U289" s="114"/>
      <c r="V289" s="115"/>
      <c r="W289" s="116">
        <f>AA286</f>
        <v>9.2499999999999982</v>
      </c>
      <c r="X289" s="116"/>
      <c r="Y289" s="117" t="s">
        <v>21</v>
      </c>
      <c r="Z289" s="118"/>
      <c r="AA289" s="24">
        <f>W289*30%+W289</f>
        <v>12.024999999999999</v>
      </c>
      <c r="AB289" s="6"/>
    </row>
    <row r="290" spans="1:28" ht="16.2" thickBot="1" x14ac:dyDescent="0.35">
      <c r="A290" s="26"/>
      <c r="B290" s="26"/>
      <c r="C290" s="26"/>
      <c r="D290" s="27"/>
      <c r="E290" s="27"/>
      <c r="F290" s="22"/>
      <c r="G290" s="22"/>
      <c r="H290" s="28"/>
      <c r="I290" s="6"/>
      <c r="T290" s="119" t="s">
        <v>22</v>
      </c>
      <c r="U290" s="120"/>
      <c r="V290" s="121"/>
      <c r="W290" s="122">
        <f>AA289</f>
        <v>12.024999999999999</v>
      </c>
      <c r="X290" s="122"/>
      <c r="Y290" s="123">
        <v>1.6</v>
      </c>
      <c r="Z290" s="124"/>
      <c r="AA290" s="25">
        <f>W290*Y290</f>
        <v>19.239999999999998</v>
      </c>
      <c r="AB290" s="6"/>
    </row>
    <row r="291" spans="1:28" ht="16.2" thickBot="1" x14ac:dyDescent="0.35">
      <c r="A291" s="139" t="s">
        <v>23</v>
      </c>
      <c r="B291" s="140"/>
      <c r="C291" s="141"/>
      <c r="D291" s="205">
        <v>1</v>
      </c>
      <c r="E291" s="206"/>
      <c r="F291" s="207" t="s">
        <v>24</v>
      </c>
      <c r="G291" s="208"/>
      <c r="H291" s="29">
        <f>H289/D291</f>
        <v>13.239893333333335</v>
      </c>
      <c r="I291" s="6"/>
      <c r="T291" s="26"/>
      <c r="U291" s="26"/>
      <c r="V291" s="26"/>
      <c r="W291" s="27"/>
      <c r="X291" s="27"/>
      <c r="Y291" s="22"/>
      <c r="Z291" s="22"/>
      <c r="AA291" s="28"/>
      <c r="AB291" s="6"/>
    </row>
    <row r="292" spans="1:28" ht="16.2" thickBot="1" x14ac:dyDescent="0.35">
      <c r="A292" s="6"/>
      <c r="B292" s="6"/>
      <c r="C292" s="6"/>
      <c r="D292" s="6"/>
      <c r="E292" s="6"/>
      <c r="F292" s="6"/>
      <c r="G292" s="6"/>
      <c r="H292" s="6"/>
      <c r="I292" s="6"/>
      <c r="T292" s="139" t="s">
        <v>23</v>
      </c>
      <c r="U292" s="140"/>
      <c r="V292" s="141"/>
      <c r="W292" s="205">
        <v>1</v>
      </c>
      <c r="X292" s="206"/>
      <c r="Y292" s="207" t="s">
        <v>24</v>
      </c>
      <c r="Z292" s="208"/>
      <c r="AA292" s="29">
        <f>AA290/W292</f>
        <v>19.239999999999998</v>
      </c>
      <c r="AB292" s="6"/>
    </row>
    <row r="293" spans="1:28" ht="16.2" thickBot="1" x14ac:dyDescent="0.35">
      <c r="A293" s="6"/>
      <c r="B293" s="6"/>
      <c r="C293" s="6"/>
      <c r="D293" s="6"/>
      <c r="E293" s="6"/>
      <c r="F293" s="6"/>
      <c r="G293" s="6"/>
      <c r="H293" s="6"/>
      <c r="I293" s="6"/>
    </row>
    <row r="294" spans="1:28" x14ac:dyDescent="0.3">
      <c r="A294" s="125" t="s">
        <v>9</v>
      </c>
      <c r="B294" s="127" t="s">
        <v>10</v>
      </c>
      <c r="C294" s="127" t="s">
        <v>11</v>
      </c>
      <c r="D294" s="5" t="s">
        <v>12</v>
      </c>
      <c r="E294" s="129" t="s">
        <v>13</v>
      </c>
      <c r="F294" s="6"/>
      <c r="G294" s="131" t="s">
        <v>14</v>
      </c>
      <c r="H294" s="133" t="s">
        <v>15</v>
      </c>
      <c r="I294" s="243" t="s">
        <v>66</v>
      </c>
    </row>
    <row r="295" spans="1:28" x14ac:dyDescent="0.3">
      <c r="A295" s="126"/>
      <c r="B295" s="128"/>
      <c r="C295" s="128"/>
      <c r="D295" s="7" t="s">
        <v>16</v>
      </c>
      <c r="E295" s="130"/>
      <c r="F295" s="6"/>
      <c r="G295" s="132"/>
      <c r="H295" s="134"/>
      <c r="I295" s="243"/>
    </row>
    <row r="296" spans="1:28" x14ac:dyDescent="0.3">
      <c r="A296" s="8">
        <v>1</v>
      </c>
      <c r="B296" s="9" t="s">
        <v>57</v>
      </c>
      <c r="C296" s="10">
        <v>600</v>
      </c>
      <c r="D296" s="10">
        <v>1000</v>
      </c>
      <c r="E296" s="11">
        <f t="shared" ref="E296:E302" si="48">C296/D296</f>
        <v>0.6</v>
      </c>
      <c r="F296" s="6"/>
      <c r="G296" s="12">
        <v>18</v>
      </c>
      <c r="H296" s="13">
        <f t="shared" ref="H296:H302" si="49">G296*E296</f>
        <v>10.799999999999999</v>
      </c>
      <c r="I296" s="6"/>
    </row>
    <row r="297" spans="1:28" x14ac:dyDescent="0.3">
      <c r="A297" s="8">
        <v>2</v>
      </c>
      <c r="B297" s="9" t="s">
        <v>34</v>
      </c>
      <c r="C297" s="10">
        <v>4.5999999999999996</v>
      </c>
      <c r="D297" s="10">
        <v>1500</v>
      </c>
      <c r="E297" s="14">
        <f t="shared" si="48"/>
        <v>3.0666666666666663E-3</v>
      </c>
      <c r="F297" s="6"/>
      <c r="G297" s="12">
        <v>100</v>
      </c>
      <c r="H297" s="15">
        <f t="shared" si="49"/>
        <v>0.30666666666666664</v>
      </c>
      <c r="I297" s="6"/>
    </row>
    <row r="298" spans="1:28" x14ac:dyDescent="0.3">
      <c r="A298" s="8">
        <v>3</v>
      </c>
      <c r="B298" s="9"/>
      <c r="C298" s="10">
        <v>0</v>
      </c>
      <c r="D298" s="10">
        <v>700</v>
      </c>
      <c r="E298" s="14">
        <f t="shared" si="48"/>
        <v>0</v>
      </c>
      <c r="F298" s="6"/>
      <c r="G298" s="12">
        <v>10</v>
      </c>
      <c r="H298" s="13">
        <f t="shared" si="49"/>
        <v>0</v>
      </c>
      <c r="I298" s="6"/>
    </row>
    <row r="299" spans="1:28" x14ac:dyDescent="0.3">
      <c r="A299" s="8">
        <v>4</v>
      </c>
      <c r="B299" s="9"/>
      <c r="C299" s="10">
        <v>0</v>
      </c>
      <c r="D299" s="10">
        <v>2000</v>
      </c>
      <c r="E299" s="14">
        <f t="shared" si="48"/>
        <v>0</v>
      </c>
      <c r="F299" s="6"/>
      <c r="G299" s="12">
        <v>30</v>
      </c>
      <c r="H299" s="13">
        <f t="shared" si="49"/>
        <v>0</v>
      </c>
      <c r="I299" s="6"/>
    </row>
    <row r="300" spans="1:28" x14ac:dyDescent="0.3">
      <c r="A300" s="8">
        <v>5</v>
      </c>
      <c r="B300" s="9" t="s">
        <v>67</v>
      </c>
      <c r="C300" s="10">
        <v>0</v>
      </c>
      <c r="D300" s="10">
        <v>50</v>
      </c>
      <c r="E300" s="14">
        <f t="shared" si="48"/>
        <v>0</v>
      </c>
      <c r="F300" s="6"/>
      <c r="G300" s="12">
        <v>0</v>
      </c>
      <c r="H300" s="13">
        <f t="shared" si="49"/>
        <v>0</v>
      </c>
      <c r="I300" s="6"/>
    </row>
    <row r="301" spans="1:28" x14ac:dyDescent="0.3">
      <c r="A301" s="8">
        <v>6</v>
      </c>
      <c r="B301" s="9"/>
      <c r="C301" s="10">
        <v>0</v>
      </c>
      <c r="D301" s="10">
        <v>100</v>
      </c>
      <c r="E301" s="14">
        <f t="shared" si="48"/>
        <v>0</v>
      </c>
      <c r="F301" s="6"/>
      <c r="G301" s="12">
        <v>0</v>
      </c>
      <c r="H301" s="13">
        <f t="shared" si="49"/>
        <v>0</v>
      </c>
      <c r="I301" s="6"/>
    </row>
    <row r="302" spans="1:28" x14ac:dyDescent="0.3">
      <c r="A302" s="8">
        <v>7</v>
      </c>
      <c r="B302" s="9"/>
      <c r="C302" s="10">
        <v>0</v>
      </c>
      <c r="D302" s="10">
        <v>100</v>
      </c>
      <c r="E302" s="14">
        <f t="shared" si="48"/>
        <v>0</v>
      </c>
      <c r="F302" s="6"/>
      <c r="G302" s="12">
        <v>0</v>
      </c>
      <c r="H302" s="13">
        <f t="shared" si="49"/>
        <v>0</v>
      </c>
      <c r="I302" s="6"/>
    </row>
    <row r="303" spans="1:28" x14ac:dyDescent="0.3">
      <c r="A303" s="8">
        <v>8</v>
      </c>
      <c r="B303" s="9"/>
      <c r="C303" s="10"/>
      <c r="D303" s="10"/>
      <c r="E303" s="14"/>
      <c r="F303" s="6"/>
      <c r="G303" s="12"/>
      <c r="H303" s="13"/>
      <c r="I303" s="6"/>
    </row>
    <row r="304" spans="1:28" x14ac:dyDescent="0.3">
      <c r="A304" s="8">
        <v>9</v>
      </c>
      <c r="B304" s="9"/>
      <c r="C304" s="10"/>
      <c r="D304" s="10"/>
      <c r="E304" s="14"/>
      <c r="F304" s="6"/>
      <c r="G304" s="12"/>
      <c r="H304" s="13"/>
      <c r="I304" s="6"/>
    </row>
    <row r="305" spans="1:9" ht="16.2" thickBot="1" x14ac:dyDescent="0.35">
      <c r="A305" s="16">
        <v>10</v>
      </c>
      <c r="B305" s="17"/>
      <c r="C305" s="18"/>
      <c r="D305" s="18"/>
      <c r="E305" s="19"/>
      <c r="F305" s="6"/>
      <c r="G305" s="12"/>
      <c r="H305" s="13"/>
      <c r="I305" s="6"/>
    </row>
    <row r="306" spans="1:9" ht="16.2" thickBot="1" x14ac:dyDescent="0.35">
      <c r="A306" s="6"/>
      <c r="B306" s="6"/>
      <c r="C306" s="6"/>
      <c r="D306" s="6"/>
      <c r="E306" s="6"/>
      <c r="F306" s="6"/>
      <c r="G306" s="20" t="s">
        <v>18</v>
      </c>
      <c r="H306" s="21">
        <f>SUM(H296:H305)</f>
        <v>11.106666666666666</v>
      </c>
      <c r="I306" s="6"/>
    </row>
    <row r="307" spans="1:9" ht="16.2" thickBot="1" x14ac:dyDescent="0.35">
      <c r="A307" s="6"/>
      <c r="B307" s="6"/>
      <c r="C307" s="6"/>
      <c r="D307" s="6"/>
      <c r="E307" s="6"/>
      <c r="F307" s="6"/>
      <c r="G307" s="6"/>
      <c r="H307" s="6"/>
      <c r="I307" s="6"/>
    </row>
    <row r="308" spans="1:9" x14ac:dyDescent="0.3">
      <c r="A308" s="110" t="s">
        <v>19</v>
      </c>
      <c r="B308" s="111"/>
      <c r="C308" s="111"/>
      <c r="D308" s="111"/>
      <c r="E308" s="111"/>
      <c r="F308" s="111"/>
      <c r="G308" s="111"/>
      <c r="H308" s="112"/>
      <c r="I308" s="6"/>
    </row>
    <row r="309" spans="1:9" x14ac:dyDescent="0.3">
      <c r="A309" s="113" t="s">
        <v>20</v>
      </c>
      <c r="B309" s="114"/>
      <c r="C309" s="115"/>
      <c r="D309" s="116">
        <f>H306</f>
        <v>11.106666666666666</v>
      </c>
      <c r="E309" s="116"/>
      <c r="F309" s="117" t="s">
        <v>21</v>
      </c>
      <c r="G309" s="118"/>
      <c r="H309" s="24">
        <f>D309*30%+D309</f>
        <v>14.438666666666665</v>
      </c>
      <c r="I309" s="6"/>
    </row>
    <row r="310" spans="1:9" ht="16.2" thickBot="1" x14ac:dyDescent="0.35">
      <c r="A310" s="119" t="s">
        <v>22</v>
      </c>
      <c r="B310" s="120"/>
      <c r="C310" s="121"/>
      <c r="D310" s="122">
        <f>H309</f>
        <v>14.438666666666665</v>
      </c>
      <c r="E310" s="122"/>
      <c r="F310" s="123">
        <v>1.6</v>
      </c>
      <c r="G310" s="124"/>
      <c r="H310" s="25">
        <f>D310*F310</f>
        <v>23.101866666666666</v>
      </c>
      <c r="I310" s="6"/>
    </row>
    <row r="311" spans="1:9" ht="16.2" thickBot="1" x14ac:dyDescent="0.35">
      <c r="A311" s="26"/>
      <c r="B311" s="26"/>
      <c r="C311" s="26"/>
      <c r="D311" s="27"/>
      <c r="E311" s="27"/>
      <c r="F311" s="22"/>
      <c r="G311" s="22"/>
      <c r="H311" s="28"/>
      <c r="I311" s="6"/>
    </row>
    <row r="312" spans="1:9" ht="16.2" thickBot="1" x14ac:dyDescent="0.35">
      <c r="A312" s="139" t="s">
        <v>23</v>
      </c>
      <c r="B312" s="140"/>
      <c r="C312" s="141"/>
      <c r="D312" s="205">
        <v>1</v>
      </c>
      <c r="E312" s="206"/>
      <c r="F312" s="207" t="s">
        <v>24</v>
      </c>
      <c r="G312" s="208"/>
      <c r="H312" s="29">
        <f>H310/D312</f>
        <v>23.101866666666666</v>
      </c>
      <c r="I312" s="6"/>
    </row>
    <row r="313" spans="1:9" x14ac:dyDescent="0.3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6.2" thickBot="1" x14ac:dyDescent="0.35">
      <c r="A314" s="6"/>
      <c r="B314" s="6"/>
      <c r="C314" s="6"/>
      <c r="D314" s="6"/>
      <c r="E314" s="6"/>
      <c r="F314" s="6"/>
      <c r="G314" s="6"/>
      <c r="H314" s="6"/>
      <c r="I314" s="6"/>
    </row>
    <row r="315" spans="1:9" x14ac:dyDescent="0.3">
      <c r="A315" s="125" t="s">
        <v>9</v>
      </c>
      <c r="B315" s="127" t="s">
        <v>10</v>
      </c>
      <c r="C315" s="127" t="s">
        <v>11</v>
      </c>
      <c r="D315" s="5" t="s">
        <v>12</v>
      </c>
      <c r="E315" s="129" t="s">
        <v>13</v>
      </c>
      <c r="F315" s="6"/>
      <c r="G315" s="131" t="s">
        <v>14</v>
      </c>
      <c r="H315" s="133" t="s">
        <v>15</v>
      </c>
      <c r="I315" s="243" t="s">
        <v>56</v>
      </c>
    </row>
    <row r="316" spans="1:9" x14ac:dyDescent="0.3">
      <c r="A316" s="126"/>
      <c r="B316" s="128"/>
      <c r="C316" s="128"/>
      <c r="D316" s="7" t="s">
        <v>16</v>
      </c>
      <c r="E316" s="130"/>
      <c r="F316" s="6"/>
      <c r="G316" s="132"/>
      <c r="H316" s="134"/>
      <c r="I316" s="243"/>
    </row>
    <row r="317" spans="1:9" x14ac:dyDescent="0.3">
      <c r="A317" s="8">
        <v>1</v>
      </c>
      <c r="B317" s="9" t="s">
        <v>57</v>
      </c>
      <c r="C317" s="10">
        <v>600</v>
      </c>
      <c r="D317" s="10">
        <v>1000</v>
      </c>
      <c r="E317" s="11">
        <f t="shared" ref="E317:E323" si="50">C317/D317</f>
        <v>0.6</v>
      </c>
      <c r="F317" s="6"/>
      <c r="G317" s="12">
        <v>18</v>
      </c>
      <c r="H317" s="13">
        <f t="shared" ref="H317:H323" si="51">G317*E317</f>
        <v>10.799999999999999</v>
      </c>
      <c r="I317" s="6"/>
    </row>
    <row r="318" spans="1:9" x14ac:dyDescent="0.3">
      <c r="A318" s="8">
        <v>2</v>
      </c>
      <c r="B318" s="9" t="s">
        <v>65</v>
      </c>
      <c r="C318" s="10">
        <v>4.5999999999999996</v>
      </c>
      <c r="D318" s="10">
        <v>1500</v>
      </c>
      <c r="E318" s="14">
        <f t="shared" si="50"/>
        <v>3.0666666666666663E-3</v>
      </c>
      <c r="F318" s="6"/>
      <c r="G318" s="12">
        <v>80</v>
      </c>
      <c r="H318" s="15">
        <f t="shared" si="51"/>
        <v>0.24533333333333329</v>
      </c>
      <c r="I318" s="6"/>
    </row>
    <row r="319" spans="1:9" x14ac:dyDescent="0.3">
      <c r="A319" s="8">
        <v>3</v>
      </c>
      <c r="B319" s="9"/>
      <c r="C319" s="10">
        <v>199</v>
      </c>
      <c r="D319" s="10">
        <v>700</v>
      </c>
      <c r="E319" s="14">
        <f t="shared" si="50"/>
        <v>0.28428571428571431</v>
      </c>
      <c r="F319" s="6"/>
      <c r="G319" s="12">
        <v>0</v>
      </c>
      <c r="H319" s="13">
        <f t="shared" si="51"/>
        <v>0</v>
      </c>
      <c r="I319" s="6"/>
    </row>
    <row r="320" spans="1:9" x14ac:dyDescent="0.3">
      <c r="A320" s="8">
        <v>4</v>
      </c>
      <c r="B320" s="9"/>
      <c r="C320" s="10">
        <v>0</v>
      </c>
      <c r="D320" s="10">
        <v>2000</v>
      </c>
      <c r="E320" s="14">
        <f t="shared" si="50"/>
        <v>0</v>
      </c>
      <c r="F320" s="6"/>
      <c r="G320" s="12">
        <v>0</v>
      </c>
      <c r="H320" s="13">
        <f t="shared" si="51"/>
        <v>0</v>
      </c>
      <c r="I320" s="6"/>
    </row>
    <row r="321" spans="1:28" x14ac:dyDescent="0.3">
      <c r="A321" s="8">
        <v>5</v>
      </c>
      <c r="B321" s="9" t="s">
        <v>35</v>
      </c>
      <c r="C321" s="10">
        <v>100</v>
      </c>
      <c r="D321" s="10">
        <v>50</v>
      </c>
      <c r="E321" s="14">
        <f t="shared" si="50"/>
        <v>2</v>
      </c>
      <c r="F321" s="6"/>
      <c r="G321" s="12">
        <v>1</v>
      </c>
      <c r="H321" s="13">
        <f t="shared" si="51"/>
        <v>2</v>
      </c>
      <c r="I321" s="6"/>
    </row>
    <row r="322" spans="1:28" x14ac:dyDescent="0.3">
      <c r="A322" s="8">
        <v>6</v>
      </c>
      <c r="B322" s="9" t="s">
        <v>29</v>
      </c>
      <c r="C322" s="10">
        <v>19</v>
      </c>
      <c r="D322" s="10">
        <v>100</v>
      </c>
      <c r="E322" s="14">
        <f t="shared" si="50"/>
        <v>0.19</v>
      </c>
      <c r="F322" s="6"/>
      <c r="G322" s="12">
        <v>1</v>
      </c>
      <c r="H322" s="13">
        <f t="shared" si="51"/>
        <v>0.19</v>
      </c>
      <c r="I322" s="6"/>
    </row>
    <row r="323" spans="1:28" x14ac:dyDescent="0.3">
      <c r="A323" s="8">
        <v>7</v>
      </c>
      <c r="B323" s="9"/>
      <c r="C323" s="10">
        <v>0</v>
      </c>
      <c r="D323" s="10">
        <v>100</v>
      </c>
      <c r="E323" s="14">
        <f t="shared" si="50"/>
        <v>0</v>
      </c>
      <c r="F323" s="6"/>
      <c r="G323" s="12">
        <v>0</v>
      </c>
      <c r="H323" s="13">
        <f t="shared" si="51"/>
        <v>0</v>
      </c>
      <c r="I323" s="6"/>
    </row>
    <row r="324" spans="1:28" x14ac:dyDescent="0.3">
      <c r="A324" s="8">
        <v>8</v>
      </c>
      <c r="B324" s="9"/>
      <c r="C324" s="10"/>
      <c r="D324" s="10"/>
      <c r="E324" s="14"/>
      <c r="F324" s="6"/>
      <c r="G324" s="12"/>
      <c r="H324" s="13"/>
      <c r="I324" s="6"/>
    </row>
    <row r="325" spans="1:28" x14ac:dyDescent="0.3">
      <c r="A325" s="8">
        <v>9</v>
      </c>
      <c r="B325" s="9"/>
      <c r="C325" s="10"/>
      <c r="D325" s="10"/>
      <c r="E325" s="14"/>
      <c r="F325" s="6"/>
      <c r="G325" s="12"/>
      <c r="H325" s="13"/>
      <c r="I325" s="6"/>
    </row>
    <row r="326" spans="1:28" ht="16.2" thickBot="1" x14ac:dyDescent="0.35">
      <c r="A326" s="16">
        <v>10</v>
      </c>
      <c r="B326" s="17"/>
      <c r="C326" s="18"/>
      <c r="D326" s="18"/>
      <c r="E326" s="19"/>
      <c r="F326" s="6"/>
      <c r="G326" s="12"/>
      <c r="H326" s="13"/>
      <c r="I326" s="6"/>
    </row>
    <row r="327" spans="1:28" ht="16.2" thickBot="1" x14ac:dyDescent="0.35">
      <c r="A327" s="6"/>
      <c r="B327" s="6"/>
      <c r="C327" s="6"/>
      <c r="D327" s="6"/>
      <c r="E327" s="6"/>
      <c r="F327" s="6"/>
      <c r="G327" s="20" t="s">
        <v>18</v>
      </c>
      <c r="H327" s="21">
        <f>SUM(H317:H326)</f>
        <v>13.235333333333331</v>
      </c>
      <c r="I327" s="6"/>
    </row>
    <row r="328" spans="1:28" ht="16.2" thickBot="1" x14ac:dyDescent="0.35">
      <c r="A328" s="6"/>
      <c r="B328" s="6"/>
      <c r="C328" s="6"/>
      <c r="D328" s="6"/>
      <c r="E328" s="6"/>
      <c r="F328" s="6"/>
      <c r="G328" s="6"/>
      <c r="H328" s="6"/>
      <c r="I328" s="6"/>
    </row>
    <row r="329" spans="1:28" x14ac:dyDescent="0.3">
      <c r="A329" s="110" t="s">
        <v>19</v>
      </c>
      <c r="B329" s="111"/>
      <c r="C329" s="111"/>
      <c r="D329" s="111"/>
      <c r="E329" s="111"/>
      <c r="F329" s="111"/>
      <c r="G329" s="111"/>
      <c r="H329" s="112"/>
      <c r="I329" s="6"/>
    </row>
    <row r="330" spans="1:28" x14ac:dyDescent="0.3">
      <c r="A330" s="113" t="s">
        <v>20</v>
      </c>
      <c r="B330" s="114"/>
      <c r="C330" s="115"/>
      <c r="D330" s="116">
        <f>H327</f>
        <v>13.235333333333331</v>
      </c>
      <c r="E330" s="116"/>
      <c r="F330" s="117" t="s">
        <v>21</v>
      </c>
      <c r="G330" s="118"/>
      <c r="H330" s="24">
        <f>D330*30%+D330</f>
        <v>17.205933333333331</v>
      </c>
      <c r="I330" s="6"/>
    </row>
    <row r="331" spans="1:28" ht="16.2" thickBot="1" x14ac:dyDescent="0.35">
      <c r="A331" s="119" t="s">
        <v>22</v>
      </c>
      <c r="B331" s="120"/>
      <c r="C331" s="121"/>
      <c r="D331" s="122">
        <f>H330</f>
        <v>17.205933333333331</v>
      </c>
      <c r="E331" s="122"/>
      <c r="F331" s="123">
        <v>1.6</v>
      </c>
      <c r="G331" s="124"/>
      <c r="H331" s="25">
        <f>D331*F331</f>
        <v>27.529493333333331</v>
      </c>
      <c r="I331" s="6"/>
    </row>
    <row r="332" spans="1:28" ht="16.2" thickBot="1" x14ac:dyDescent="0.35">
      <c r="A332" s="26"/>
      <c r="B332" s="26"/>
      <c r="C332" s="26"/>
      <c r="D332" s="27"/>
      <c r="E332" s="27"/>
      <c r="F332" s="22"/>
      <c r="G332" s="22"/>
      <c r="H332" s="28"/>
      <c r="I332" s="6"/>
    </row>
    <row r="333" spans="1:28" ht="16.2" thickBot="1" x14ac:dyDescent="0.35">
      <c r="A333" s="139" t="s">
        <v>23</v>
      </c>
      <c r="B333" s="140"/>
      <c r="C333" s="141"/>
      <c r="D333" s="205">
        <v>1</v>
      </c>
      <c r="E333" s="206"/>
      <c r="F333" s="207" t="s">
        <v>24</v>
      </c>
      <c r="G333" s="208"/>
      <c r="H333" s="29">
        <f>H331/D333</f>
        <v>27.529493333333331</v>
      </c>
      <c r="I333" s="6"/>
    </row>
    <row r="334" spans="1:28" ht="16.2" thickBot="1" x14ac:dyDescent="0.35"/>
    <row r="335" spans="1:28" x14ac:dyDescent="0.3">
      <c r="A335" s="125" t="s">
        <v>9</v>
      </c>
      <c r="B335" s="127" t="s">
        <v>10</v>
      </c>
      <c r="C335" s="127" t="s">
        <v>11</v>
      </c>
      <c r="D335" s="5" t="s">
        <v>12</v>
      </c>
      <c r="E335" s="129" t="s">
        <v>13</v>
      </c>
      <c r="F335" s="6"/>
      <c r="G335" s="131" t="s">
        <v>14</v>
      </c>
      <c r="H335" s="133" t="s">
        <v>15</v>
      </c>
      <c r="I335" s="204" t="s">
        <v>31</v>
      </c>
      <c r="J335" s="125" t="s">
        <v>9</v>
      </c>
      <c r="K335" s="127" t="s">
        <v>10</v>
      </c>
      <c r="L335" s="127" t="s">
        <v>11</v>
      </c>
      <c r="M335" s="5" t="s">
        <v>12</v>
      </c>
      <c r="N335" s="129" t="s">
        <v>13</v>
      </c>
      <c r="O335" s="6"/>
      <c r="P335" s="131" t="s">
        <v>14</v>
      </c>
      <c r="Q335" s="133" t="s">
        <v>15</v>
      </c>
      <c r="R335" s="204" t="s">
        <v>31</v>
      </c>
      <c r="T335" s="125" t="s">
        <v>9</v>
      </c>
      <c r="U335" s="127" t="s">
        <v>10</v>
      </c>
      <c r="V335" s="127" t="s">
        <v>11</v>
      </c>
      <c r="W335" s="5" t="s">
        <v>12</v>
      </c>
      <c r="X335" s="129" t="s">
        <v>13</v>
      </c>
      <c r="Y335" s="6"/>
      <c r="Z335" s="131" t="s">
        <v>14</v>
      </c>
      <c r="AA335" s="133" t="s">
        <v>15</v>
      </c>
      <c r="AB335" s="204" t="s">
        <v>31</v>
      </c>
    </row>
    <row r="336" spans="1:28" x14ac:dyDescent="0.3">
      <c r="A336" s="126"/>
      <c r="B336" s="128"/>
      <c r="C336" s="128"/>
      <c r="D336" s="7" t="s">
        <v>16</v>
      </c>
      <c r="E336" s="130"/>
      <c r="F336" s="6"/>
      <c r="G336" s="132"/>
      <c r="H336" s="134"/>
      <c r="I336" s="204"/>
      <c r="J336" s="126"/>
      <c r="K336" s="128"/>
      <c r="L336" s="128"/>
      <c r="M336" s="7" t="s">
        <v>16</v>
      </c>
      <c r="N336" s="130"/>
      <c r="O336" s="6"/>
      <c r="P336" s="132"/>
      <c r="Q336" s="134"/>
      <c r="R336" s="204"/>
      <c r="T336" s="126"/>
      <c r="U336" s="128"/>
      <c r="V336" s="128"/>
      <c r="W336" s="7" t="s">
        <v>16</v>
      </c>
      <c r="X336" s="130"/>
      <c r="Y336" s="6"/>
      <c r="Z336" s="132"/>
      <c r="AA336" s="134"/>
      <c r="AB336" s="204"/>
    </row>
    <row r="337" spans="1:28" x14ac:dyDescent="0.3">
      <c r="A337" s="8">
        <v>1</v>
      </c>
      <c r="B337" s="9" t="s">
        <v>43</v>
      </c>
      <c r="C337" s="10">
        <v>100</v>
      </c>
      <c r="D337" s="10">
        <v>200</v>
      </c>
      <c r="E337" s="11">
        <f>C337/D337</f>
        <v>0.5</v>
      </c>
      <c r="F337" s="6"/>
      <c r="G337" s="12">
        <v>10</v>
      </c>
      <c r="H337" s="13">
        <f t="shared" ref="H337:H346" si="52">G337*E337</f>
        <v>5</v>
      </c>
      <c r="I337" s="6"/>
      <c r="J337" s="8">
        <v>1</v>
      </c>
      <c r="K337" s="40" t="s">
        <v>43</v>
      </c>
      <c r="L337" s="41">
        <v>100</v>
      </c>
      <c r="M337" s="41">
        <v>200</v>
      </c>
      <c r="N337" s="42">
        <f>L337/M337</f>
        <v>0.5</v>
      </c>
      <c r="O337" s="43"/>
      <c r="P337" s="44">
        <v>50</v>
      </c>
      <c r="Q337" s="45">
        <f t="shared" ref="Q337:Q346" si="53">P337*N337</f>
        <v>25</v>
      </c>
      <c r="R337" s="6"/>
      <c r="T337" s="8">
        <v>1</v>
      </c>
      <c r="U337" s="9" t="s">
        <v>133</v>
      </c>
      <c r="V337" s="10">
        <v>150</v>
      </c>
      <c r="W337" s="10">
        <v>900</v>
      </c>
      <c r="X337" s="11">
        <f>V337/W337</f>
        <v>0.16666666666666666</v>
      </c>
      <c r="Y337" s="6"/>
      <c r="Z337" s="12">
        <v>100</v>
      </c>
      <c r="AA337" s="13">
        <f t="shared" ref="AA337:AA346" si="54">Z337*X337</f>
        <v>16.666666666666664</v>
      </c>
      <c r="AB337" s="6"/>
    </row>
    <row r="338" spans="1:28" x14ac:dyDescent="0.3">
      <c r="A338" s="8">
        <v>2</v>
      </c>
      <c r="B338" s="9" t="s">
        <v>25</v>
      </c>
      <c r="C338" s="10">
        <v>85</v>
      </c>
      <c r="D338" s="10">
        <v>200</v>
      </c>
      <c r="E338" s="14">
        <f t="shared" ref="E338:E346" si="55">C338/D338</f>
        <v>0.42499999999999999</v>
      </c>
      <c r="F338" s="6"/>
      <c r="G338" s="12">
        <v>5</v>
      </c>
      <c r="H338" s="15">
        <f t="shared" si="52"/>
        <v>2.125</v>
      </c>
      <c r="I338" s="6"/>
      <c r="J338" s="8">
        <v>2</v>
      </c>
      <c r="K338" s="40" t="s">
        <v>25</v>
      </c>
      <c r="L338" s="41">
        <v>85</v>
      </c>
      <c r="M338" s="41">
        <v>200</v>
      </c>
      <c r="N338" s="46">
        <f t="shared" ref="N338:N346" si="56">L338/M338</f>
        <v>0.42499999999999999</v>
      </c>
      <c r="O338" s="43"/>
      <c r="P338" s="44">
        <v>100</v>
      </c>
      <c r="Q338" s="47">
        <f t="shared" si="53"/>
        <v>42.5</v>
      </c>
      <c r="R338" s="6"/>
      <c r="T338" s="8">
        <v>2</v>
      </c>
      <c r="U338" s="9"/>
      <c r="V338" s="10">
        <v>0</v>
      </c>
      <c r="W338" s="10">
        <v>2000</v>
      </c>
      <c r="X338" s="14">
        <f t="shared" ref="X338:X346" si="57">V338/W338</f>
        <v>0</v>
      </c>
      <c r="Y338" s="6"/>
      <c r="Z338" s="12">
        <v>0</v>
      </c>
      <c r="AA338" s="15">
        <f t="shared" si="54"/>
        <v>0</v>
      </c>
      <c r="AB338" s="6"/>
    </row>
    <row r="339" spans="1:28" x14ac:dyDescent="0.3">
      <c r="A339" s="8">
        <v>3</v>
      </c>
      <c r="B339" s="9" t="s">
        <v>41</v>
      </c>
      <c r="C339" s="10">
        <v>55</v>
      </c>
      <c r="D339" s="10">
        <v>1000</v>
      </c>
      <c r="E339" s="14">
        <f t="shared" si="55"/>
        <v>5.5E-2</v>
      </c>
      <c r="F339" s="6"/>
      <c r="G339" s="12">
        <v>40</v>
      </c>
      <c r="H339" s="13">
        <f t="shared" si="52"/>
        <v>2.2000000000000002</v>
      </c>
      <c r="I339" s="6"/>
      <c r="J339" s="8">
        <v>3</v>
      </c>
      <c r="K339" s="40" t="s">
        <v>34</v>
      </c>
      <c r="L339" s="41">
        <v>4.5999999999999996</v>
      </c>
      <c r="M339" s="41">
        <v>1500</v>
      </c>
      <c r="N339" s="46">
        <f t="shared" si="56"/>
        <v>3.0666666666666663E-3</v>
      </c>
      <c r="O339" s="43"/>
      <c r="P339" s="44">
        <v>1100</v>
      </c>
      <c r="Q339" s="45">
        <f t="shared" si="53"/>
        <v>3.3733333333333331</v>
      </c>
      <c r="R339" s="6"/>
      <c r="T339" s="8">
        <v>3</v>
      </c>
      <c r="U339" s="9" t="s">
        <v>41</v>
      </c>
      <c r="V339" s="10">
        <v>55</v>
      </c>
      <c r="W339" s="10">
        <v>1000</v>
      </c>
      <c r="X339" s="14">
        <f t="shared" si="57"/>
        <v>5.5E-2</v>
      </c>
      <c r="Y339" s="6"/>
      <c r="Z339" s="12">
        <v>40</v>
      </c>
      <c r="AA339" s="13">
        <f t="shared" si="54"/>
        <v>2.2000000000000002</v>
      </c>
      <c r="AB339" s="6"/>
    </row>
    <row r="340" spans="1:28" x14ac:dyDescent="0.3">
      <c r="A340" s="8">
        <v>4</v>
      </c>
      <c r="B340" s="9"/>
      <c r="C340" s="10">
        <v>0</v>
      </c>
      <c r="D340" s="10">
        <v>1</v>
      </c>
      <c r="E340" s="14">
        <f t="shared" si="55"/>
        <v>0</v>
      </c>
      <c r="F340" s="6"/>
      <c r="G340" s="12">
        <v>0</v>
      </c>
      <c r="H340" s="13">
        <f t="shared" si="52"/>
        <v>0</v>
      </c>
      <c r="I340" s="6"/>
      <c r="J340" s="8">
        <v>4</v>
      </c>
      <c r="K340" s="9"/>
      <c r="L340" s="10">
        <v>0</v>
      </c>
      <c r="M340" s="10">
        <v>1</v>
      </c>
      <c r="N340" s="14">
        <f t="shared" si="56"/>
        <v>0</v>
      </c>
      <c r="O340" s="6"/>
      <c r="P340" s="12">
        <v>0</v>
      </c>
      <c r="Q340" s="13">
        <f t="shared" si="53"/>
        <v>0</v>
      </c>
      <c r="R340" s="6"/>
      <c r="T340" s="8">
        <v>4</v>
      </c>
      <c r="U340" s="9"/>
      <c r="V340" s="10">
        <v>0</v>
      </c>
      <c r="W340" s="10">
        <v>1</v>
      </c>
      <c r="X340" s="14">
        <f t="shared" si="57"/>
        <v>0</v>
      </c>
      <c r="Y340" s="6"/>
      <c r="Z340" s="12">
        <v>0</v>
      </c>
      <c r="AA340" s="13">
        <f t="shared" si="54"/>
        <v>0</v>
      </c>
      <c r="AB340" s="6"/>
    </row>
    <row r="341" spans="1:28" x14ac:dyDescent="0.3">
      <c r="A341" s="8">
        <v>5</v>
      </c>
      <c r="B341" s="9" t="s">
        <v>26</v>
      </c>
      <c r="C341" s="10">
        <v>118</v>
      </c>
      <c r="D341" s="10">
        <v>2000</v>
      </c>
      <c r="E341" s="14">
        <f t="shared" si="55"/>
        <v>5.8999999999999997E-2</v>
      </c>
      <c r="F341" s="6"/>
      <c r="G341" s="12">
        <v>20</v>
      </c>
      <c r="H341" s="13">
        <f t="shared" si="52"/>
        <v>1.18</v>
      </c>
      <c r="I341" s="22"/>
      <c r="J341" s="8">
        <v>5</v>
      </c>
      <c r="K341" s="9"/>
      <c r="L341" s="10">
        <v>0</v>
      </c>
      <c r="M341" s="10">
        <v>2000</v>
      </c>
      <c r="N341" s="14">
        <f t="shared" si="56"/>
        <v>0</v>
      </c>
      <c r="O341" s="6"/>
      <c r="P341" s="12">
        <v>0</v>
      </c>
      <c r="Q341" s="13">
        <f t="shared" si="53"/>
        <v>0</v>
      </c>
      <c r="R341" s="22"/>
      <c r="T341" s="8">
        <v>5</v>
      </c>
      <c r="U341" s="9" t="s">
        <v>26</v>
      </c>
      <c r="V341" s="10">
        <v>118</v>
      </c>
      <c r="W341" s="10">
        <v>2000</v>
      </c>
      <c r="X341" s="14">
        <f t="shared" si="57"/>
        <v>5.8999999999999997E-2</v>
      </c>
      <c r="Y341" s="6"/>
      <c r="Z341" s="12">
        <v>30</v>
      </c>
      <c r="AA341" s="13">
        <f t="shared" si="54"/>
        <v>1.77</v>
      </c>
      <c r="AB341" s="22"/>
    </row>
    <row r="342" spans="1:28" x14ac:dyDescent="0.3">
      <c r="A342" s="8">
        <v>6</v>
      </c>
      <c r="B342" s="9" t="s">
        <v>28</v>
      </c>
      <c r="C342" s="10">
        <v>100</v>
      </c>
      <c r="D342" s="10">
        <v>50</v>
      </c>
      <c r="E342" s="14">
        <f t="shared" si="55"/>
        <v>2</v>
      </c>
      <c r="F342" s="6"/>
      <c r="G342" s="12">
        <v>1</v>
      </c>
      <c r="H342" s="13">
        <f t="shared" si="52"/>
        <v>2</v>
      </c>
      <c r="I342" s="6"/>
      <c r="J342" s="8">
        <v>6</v>
      </c>
      <c r="K342" s="9"/>
      <c r="L342" s="10">
        <v>0</v>
      </c>
      <c r="M342" s="10">
        <v>50</v>
      </c>
      <c r="N342" s="14">
        <f t="shared" si="56"/>
        <v>0</v>
      </c>
      <c r="O342" s="6"/>
      <c r="P342" s="12">
        <v>0</v>
      </c>
      <c r="Q342" s="13">
        <f t="shared" si="53"/>
        <v>0</v>
      </c>
      <c r="R342" s="6"/>
      <c r="T342" s="8">
        <v>6</v>
      </c>
      <c r="U342" s="9" t="s">
        <v>28</v>
      </c>
      <c r="V342" s="10">
        <v>100</v>
      </c>
      <c r="W342" s="10">
        <v>50</v>
      </c>
      <c r="X342" s="14">
        <f t="shared" si="57"/>
        <v>2</v>
      </c>
      <c r="Y342" s="6"/>
      <c r="Z342" s="12">
        <v>1</v>
      </c>
      <c r="AA342" s="13">
        <f t="shared" si="54"/>
        <v>2</v>
      </c>
      <c r="AB342" s="6"/>
    </row>
    <row r="343" spans="1:28" x14ac:dyDescent="0.3">
      <c r="A343" s="8">
        <v>7</v>
      </c>
      <c r="B343" s="9" t="s">
        <v>29</v>
      </c>
      <c r="C343" s="10">
        <v>19</v>
      </c>
      <c r="D343" s="10">
        <v>100</v>
      </c>
      <c r="E343" s="14">
        <f t="shared" si="55"/>
        <v>0.19</v>
      </c>
      <c r="F343" s="6"/>
      <c r="G343" s="12">
        <v>1</v>
      </c>
      <c r="H343" s="13">
        <f t="shared" si="52"/>
        <v>0.19</v>
      </c>
      <c r="I343" s="6"/>
      <c r="J343" s="8">
        <v>7</v>
      </c>
      <c r="K343" s="9"/>
      <c r="L343" s="10">
        <v>0</v>
      </c>
      <c r="M343" s="10">
        <v>100</v>
      </c>
      <c r="N343" s="14">
        <f t="shared" si="56"/>
        <v>0</v>
      </c>
      <c r="O343" s="6"/>
      <c r="P343" s="12">
        <v>0</v>
      </c>
      <c r="Q343" s="13">
        <f t="shared" si="53"/>
        <v>0</v>
      </c>
      <c r="R343" s="6"/>
      <c r="T343" s="8">
        <v>7</v>
      </c>
      <c r="U343" s="9" t="s">
        <v>29</v>
      </c>
      <c r="V343" s="10">
        <v>19</v>
      </c>
      <c r="W343" s="10">
        <v>100</v>
      </c>
      <c r="X343" s="14">
        <f t="shared" si="57"/>
        <v>0.19</v>
      </c>
      <c r="Y343" s="6"/>
      <c r="Z343" s="12">
        <v>1</v>
      </c>
      <c r="AA343" s="13">
        <f t="shared" si="54"/>
        <v>0.19</v>
      </c>
      <c r="AB343" s="6"/>
    </row>
    <row r="344" spans="1:28" x14ac:dyDescent="0.3">
      <c r="A344" s="8">
        <v>8</v>
      </c>
      <c r="B344" s="9" t="s">
        <v>44</v>
      </c>
      <c r="C344" s="10">
        <v>85</v>
      </c>
      <c r="D344" s="10">
        <v>450</v>
      </c>
      <c r="E344" s="14">
        <f t="shared" si="55"/>
        <v>0.18888888888888888</v>
      </c>
      <c r="F344" s="6"/>
      <c r="G344" s="12">
        <v>13</v>
      </c>
      <c r="H344" s="13">
        <f t="shared" si="52"/>
        <v>2.4555555555555557</v>
      </c>
      <c r="I344" s="6"/>
      <c r="J344" s="8">
        <v>8</v>
      </c>
      <c r="K344" s="40" t="s">
        <v>44</v>
      </c>
      <c r="L344" s="41">
        <v>85</v>
      </c>
      <c r="M344" s="41">
        <v>450</v>
      </c>
      <c r="N344" s="46">
        <f t="shared" si="56"/>
        <v>0.18888888888888888</v>
      </c>
      <c r="O344" s="43"/>
      <c r="P344" s="44">
        <v>150</v>
      </c>
      <c r="Q344" s="45">
        <f t="shared" si="53"/>
        <v>28.333333333333332</v>
      </c>
      <c r="R344" s="6"/>
      <c r="T344" s="8">
        <v>8</v>
      </c>
      <c r="U344" s="9"/>
      <c r="V344" s="10">
        <v>0</v>
      </c>
      <c r="W344" s="10">
        <v>450</v>
      </c>
      <c r="X344" s="14">
        <f t="shared" si="57"/>
        <v>0</v>
      </c>
      <c r="Y344" s="6"/>
      <c r="Z344" s="12">
        <v>0</v>
      </c>
      <c r="AA344" s="13">
        <f t="shared" si="54"/>
        <v>0</v>
      </c>
      <c r="AB344" s="6"/>
    </row>
    <row r="345" spans="1:28" x14ac:dyDescent="0.3">
      <c r="A345" s="8">
        <v>9</v>
      </c>
      <c r="B345" s="9" t="s">
        <v>45</v>
      </c>
      <c r="C345" s="10">
        <v>130</v>
      </c>
      <c r="D345" s="10">
        <v>1000</v>
      </c>
      <c r="E345" s="14">
        <f t="shared" si="55"/>
        <v>0.13</v>
      </c>
      <c r="F345" s="6"/>
      <c r="G345" s="12">
        <v>10</v>
      </c>
      <c r="H345" s="13">
        <f t="shared" si="52"/>
        <v>1.3</v>
      </c>
      <c r="I345" s="6"/>
      <c r="J345" s="8">
        <v>9</v>
      </c>
      <c r="K345" s="40" t="s">
        <v>45</v>
      </c>
      <c r="L345" s="41">
        <v>135</v>
      </c>
      <c r="M345" s="41">
        <v>1000</v>
      </c>
      <c r="N345" s="46">
        <f t="shared" si="56"/>
        <v>0.13500000000000001</v>
      </c>
      <c r="O345" s="43"/>
      <c r="P345" s="44">
        <v>100</v>
      </c>
      <c r="Q345" s="45">
        <f t="shared" si="53"/>
        <v>13.5</v>
      </c>
      <c r="R345" s="6"/>
      <c r="T345" s="8">
        <v>9</v>
      </c>
      <c r="U345" s="9"/>
      <c r="V345" s="10">
        <v>0</v>
      </c>
      <c r="W345" s="10">
        <v>1000</v>
      </c>
      <c r="X345" s="14">
        <f t="shared" si="57"/>
        <v>0</v>
      </c>
      <c r="Y345" s="6"/>
      <c r="Z345" s="12">
        <v>0</v>
      </c>
      <c r="AA345" s="13">
        <f t="shared" si="54"/>
        <v>0</v>
      </c>
      <c r="AB345" s="6"/>
    </row>
    <row r="346" spans="1:28" ht="16.2" thickBot="1" x14ac:dyDescent="0.35">
      <c r="A346" s="16">
        <v>10</v>
      </c>
      <c r="B346" s="17" t="s">
        <v>63</v>
      </c>
      <c r="C346" s="18">
        <v>98</v>
      </c>
      <c r="D346" s="18">
        <v>2000</v>
      </c>
      <c r="E346" s="19">
        <f t="shared" si="55"/>
        <v>4.9000000000000002E-2</v>
      </c>
      <c r="F346" s="6"/>
      <c r="G346" s="12">
        <v>50</v>
      </c>
      <c r="H346" s="13">
        <f t="shared" si="52"/>
        <v>2.4500000000000002</v>
      </c>
      <c r="I346" s="6"/>
      <c r="J346" s="16">
        <v>10</v>
      </c>
      <c r="K346" s="17"/>
      <c r="L346" s="18">
        <v>0</v>
      </c>
      <c r="M346" s="18">
        <v>2000</v>
      </c>
      <c r="N346" s="19">
        <f t="shared" si="56"/>
        <v>0</v>
      </c>
      <c r="O346" s="6"/>
      <c r="P346" s="12">
        <v>0</v>
      </c>
      <c r="Q346" s="13">
        <f t="shared" si="53"/>
        <v>0</v>
      </c>
      <c r="R346" s="6"/>
      <c r="T346" s="16">
        <v>10</v>
      </c>
      <c r="U346" s="17" t="s">
        <v>63</v>
      </c>
      <c r="V346" s="18">
        <v>98</v>
      </c>
      <c r="W346" s="18">
        <v>2000</v>
      </c>
      <c r="X346" s="19">
        <f t="shared" si="57"/>
        <v>4.9000000000000002E-2</v>
      </c>
      <c r="Y346" s="6"/>
      <c r="Z346" s="12">
        <v>40</v>
      </c>
      <c r="AA346" s="13">
        <f t="shared" si="54"/>
        <v>1.96</v>
      </c>
      <c r="AB346" s="6"/>
    </row>
    <row r="347" spans="1:28" ht="16.2" thickBot="1" x14ac:dyDescent="0.35">
      <c r="A347" s="6"/>
      <c r="B347" s="6"/>
      <c r="C347" s="6"/>
      <c r="D347" s="6"/>
      <c r="E347" s="6"/>
      <c r="F347" s="6"/>
      <c r="G347" s="20" t="s">
        <v>18</v>
      </c>
      <c r="H347" s="21">
        <f>SUM(H337:H346)</f>
        <v>18.900555555555552</v>
      </c>
      <c r="I347" s="6"/>
      <c r="J347" s="6"/>
      <c r="K347" s="6"/>
      <c r="L347" s="6"/>
      <c r="M347" s="6"/>
      <c r="N347" s="6"/>
      <c r="O347" s="6"/>
      <c r="P347" s="20" t="s">
        <v>18</v>
      </c>
      <c r="Q347" s="21">
        <f>SUM(Q337:Q346)</f>
        <v>112.70666666666666</v>
      </c>
      <c r="R347" s="6"/>
      <c r="T347" s="6"/>
      <c r="U347" s="6"/>
      <c r="V347" s="6"/>
      <c r="W347" s="6"/>
      <c r="X347" s="6"/>
      <c r="Y347" s="6"/>
      <c r="Z347" s="20" t="s">
        <v>18</v>
      </c>
      <c r="AA347" s="21">
        <f>SUM(AA337:AA346)</f>
        <v>24.786666666666665</v>
      </c>
      <c r="AB347" s="6"/>
    </row>
    <row r="348" spans="1:28" ht="16.2" thickBot="1" x14ac:dyDescent="0.35">
      <c r="A348" s="6"/>
      <c r="B348" s="6"/>
      <c r="C348" s="6"/>
      <c r="D348" s="6"/>
      <c r="E348" s="6"/>
      <c r="F348" s="6"/>
      <c r="G348" s="22"/>
      <c r="H348" s="23"/>
      <c r="I348" s="6"/>
      <c r="J348" s="6"/>
      <c r="K348" s="6"/>
      <c r="L348" s="6"/>
      <c r="M348" s="6"/>
      <c r="N348" s="6"/>
      <c r="O348" s="6"/>
      <c r="P348" s="22"/>
      <c r="Q348" s="23"/>
      <c r="R348" s="6"/>
      <c r="T348" s="6"/>
      <c r="U348" s="6"/>
      <c r="V348" s="6"/>
      <c r="W348" s="6"/>
      <c r="X348" s="6"/>
      <c r="Y348" s="6"/>
      <c r="Z348" s="22"/>
      <c r="AA348" s="23"/>
      <c r="AB348" s="6"/>
    </row>
    <row r="349" spans="1:28" x14ac:dyDescent="0.3">
      <c r="A349" s="110" t="s">
        <v>19</v>
      </c>
      <c r="B349" s="111"/>
      <c r="C349" s="111"/>
      <c r="D349" s="111"/>
      <c r="E349" s="111"/>
      <c r="F349" s="111"/>
      <c r="G349" s="111"/>
      <c r="H349" s="112"/>
      <c r="I349" s="6"/>
      <c r="J349" s="110" t="s">
        <v>19</v>
      </c>
      <c r="K349" s="111"/>
      <c r="L349" s="111"/>
      <c r="M349" s="111"/>
      <c r="N349" s="111"/>
      <c r="O349" s="111"/>
      <c r="P349" s="111"/>
      <c r="Q349" s="112"/>
      <c r="R349" s="6"/>
      <c r="T349" s="110" t="s">
        <v>19</v>
      </c>
      <c r="U349" s="111"/>
      <c r="V349" s="111"/>
      <c r="W349" s="111"/>
      <c r="X349" s="111"/>
      <c r="Y349" s="111"/>
      <c r="Z349" s="111"/>
      <c r="AA349" s="112"/>
      <c r="AB349" s="6"/>
    </row>
    <row r="350" spans="1:28" x14ac:dyDescent="0.3">
      <c r="A350" s="113" t="s">
        <v>20</v>
      </c>
      <c r="B350" s="114"/>
      <c r="C350" s="115"/>
      <c r="D350" s="116">
        <f>H347</f>
        <v>18.900555555555552</v>
      </c>
      <c r="E350" s="116"/>
      <c r="F350" s="117" t="s">
        <v>21</v>
      </c>
      <c r="G350" s="118"/>
      <c r="H350" s="24">
        <f>D350*30%+D350</f>
        <v>24.570722222222219</v>
      </c>
      <c r="I350" s="6"/>
      <c r="J350" s="113" t="s">
        <v>20</v>
      </c>
      <c r="K350" s="114"/>
      <c r="L350" s="115"/>
      <c r="M350" s="116">
        <f>Q347</f>
        <v>112.70666666666666</v>
      </c>
      <c r="N350" s="116"/>
      <c r="O350" s="117" t="s">
        <v>21</v>
      </c>
      <c r="P350" s="118"/>
      <c r="Q350" s="24">
        <f>M350*30%+M350</f>
        <v>146.51866666666666</v>
      </c>
      <c r="R350" s="6"/>
      <c r="T350" s="113" t="s">
        <v>20</v>
      </c>
      <c r="U350" s="114"/>
      <c r="V350" s="115"/>
      <c r="W350" s="116">
        <f>AA347</f>
        <v>24.786666666666665</v>
      </c>
      <c r="X350" s="116"/>
      <c r="Y350" s="117" t="s">
        <v>21</v>
      </c>
      <c r="Z350" s="118"/>
      <c r="AA350" s="24">
        <f>W350*30%+W350</f>
        <v>32.222666666666662</v>
      </c>
      <c r="AB350" s="6"/>
    </row>
    <row r="351" spans="1:28" ht="16.2" thickBot="1" x14ac:dyDescent="0.35">
      <c r="A351" s="119" t="s">
        <v>22</v>
      </c>
      <c r="B351" s="120"/>
      <c r="C351" s="121"/>
      <c r="D351" s="122">
        <f>H350</f>
        <v>24.570722222222219</v>
      </c>
      <c r="E351" s="122"/>
      <c r="F351" s="123">
        <v>1.6</v>
      </c>
      <c r="G351" s="124"/>
      <c r="H351" s="25">
        <f>D351*F351</f>
        <v>39.313155555555554</v>
      </c>
      <c r="I351" s="6"/>
      <c r="J351" s="119" t="s">
        <v>22</v>
      </c>
      <c r="K351" s="120"/>
      <c r="L351" s="121"/>
      <c r="M351" s="122">
        <f>Q350</f>
        <v>146.51866666666666</v>
      </c>
      <c r="N351" s="122"/>
      <c r="O351" s="123">
        <v>1.6</v>
      </c>
      <c r="P351" s="124"/>
      <c r="Q351" s="25">
        <f>M351*O351</f>
        <v>234.42986666666667</v>
      </c>
      <c r="R351" s="6"/>
      <c r="T351" s="119" t="s">
        <v>22</v>
      </c>
      <c r="U351" s="120"/>
      <c r="V351" s="121"/>
      <c r="W351" s="122">
        <f>AA350</f>
        <v>32.222666666666662</v>
      </c>
      <c r="X351" s="122"/>
      <c r="Y351" s="123">
        <v>1.6</v>
      </c>
      <c r="Z351" s="124"/>
      <c r="AA351" s="25">
        <f>W351*Y351</f>
        <v>51.556266666666659</v>
      </c>
      <c r="AB351" s="6"/>
    </row>
    <row r="352" spans="1:28" ht="16.2" thickBot="1" x14ac:dyDescent="0.35">
      <c r="A352" s="26"/>
      <c r="B352" s="26"/>
      <c r="C352" s="26"/>
      <c r="D352" s="27"/>
      <c r="E352" s="27"/>
      <c r="F352" s="22"/>
      <c r="G352" s="22"/>
      <c r="H352" s="28"/>
      <c r="I352" s="6"/>
      <c r="J352" s="26"/>
      <c r="K352" s="26"/>
      <c r="L352" s="26"/>
      <c r="M352" s="27"/>
      <c r="N352" s="27"/>
      <c r="O352" s="22"/>
      <c r="P352" s="22"/>
      <c r="Q352" s="28"/>
      <c r="R352" s="6"/>
      <c r="T352" s="26"/>
      <c r="U352" s="26"/>
      <c r="V352" s="26"/>
      <c r="W352" s="27"/>
      <c r="X352" s="27"/>
      <c r="Y352" s="22"/>
      <c r="Z352" s="22"/>
      <c r="AA352" s="28"/>
      <c r="AB352" s="6"/>
    </row>
    <row r="353" spans="1:28" ht="16.2" thickBot="1" x14ac:dyDescent="0.35">
      <c r="A353" s="139" t="s">
        <v>23</v>
      </c>
      <c r="B353" s="140"/>
      <c r="C353" s="141"/>
      <c r="D353" s="205">
        <v>1</v>
      </c>
      <c r="E353" s="206"/>
      <c r="F353" s="207" t="s">
        <v>24</v>
      </c>
      <c r="G353" s="208"/>
      <c r="H353" s="29">
        <f>H351/D353</f>
        <v>39.313155555555554</v>
      </c>
      <c r="I353" s="6"/>
      <c r="J353" s="139" t="s">
        <v>23</v>
      </c>
      <c r="K353" s="140"/>
      <c r="L353" s="141"/>
      <c r="M353" s="205">
        <v>1</v>
      </c>
      <c r="N353" s="206"/>
      <c r="O353" s="207" t="s">
        <v>24</v>
      </c>
      <c r="P353" s="208"/>
      <c r="Q353" s="29">
        <f>Q351/M353</f>
        <v>234.42986666666667</v>
      </c>
      <c r="R353" s="6"/>
      <c r="T353" s="139" t="s">
        <v>23</v>
      </c>
      <c r="U353" s="140"/>
      <c r="V353" s="141"/>
      <c r="W353" s="205">
        <v>1</v>
      </c>
      <c r="X353" s="206"/>
      <c r="Y353" s="207" t="s">
        <v>24</v>
      </c>
      <c r="Z353" s="208"/>
      <c r="AA353" s="29">
        <f>AA351/W353</f>
        <v>51.556266666666659</v>
      </c>
      <c r="AB353" s="6"/>
    </row>
    <row r="354" spans="1:28" ht="16.2" thickBot="1" x14ac:dyDescent="0.35">
      <c r="A354" s="6"/>
      <c r="B354" s="6"/>
      <c r="C354" s="6"/>
      <c r="D354" s="6"/>
      <c r="E354" s="6"/>
      <c r="F354" s="6"/>
      <c r="G354" s="6"/>
      <c r="H354" s="6"/>
      <c r="I354" s="6"/>
    </row>
    <row r="355" spans="1:28" x14ac:dyDescent="0.3">
      <c r="A355" s="125" t="s">
        <v>9</v>
      </c>
      <c r="B355" s="127" t="s">
        <v>10</v>
      </c>
      <c r="C355" s="127" t="s">
        <v>11</v>
      </c>
      <c r="D355" s="5" t="s">
        <v>12</v>
      </c>
      <c r="E355" s="129" t="s">
        <v>13</v>
      </c>
      <c r="F355" s="6"/>
      <c r="G355" s="131" t="s">
        <v>14</v>
      </c>
      <c r="H355" s="133" t="s">
        <v>15</v>
      </c>
      <c r="I355" s="204" t="s">
        <v>68</v>
      </c>
      <c r="J355" s="125" t="s">
        <v>9</v>
      </c>
      <c r="K355" s="127" t="s">
        <v>10</v>
      </c>
      <c r="L355" s="127" t="s">
        <v>11</v>
      </c>
      <c r="M355" s="5" t="s">
        <v>12</v>
      </c>
      <c r="N355" s="129" t="s">
        <v>13</v>
      </c>
      <c r="O355" s="6"/>
      <c r="P355" s="131" t="s">
        <v>14</v>
      </c>
      <c r="Q355" s="133" t="s">
        <v>15</v>
      </c>
      <c r="R355" s="204" t="s">
        <v>100</v>
      </c>
    </row>
    <row r="356" spans="1:28" x14ac:dyDescent="0.3">
      <c r="A356" s="126"/>
      <c r="B356" s="128"/>
      <c r="C356" s="128"/>
      <c r="D356" s="7" t="s">
        <v>16</v>
      </c>
      <c r="E356" s="130"/>
      <c r="F356" s="6"/>
      <c r="G356" s="132"/>
      <c r="H356" s="134"/>
      <c r="I356" s="204"/>
      <c r="J356" s="126"/>
      <c r="K356" s="128"/>
      <c r="L356" s="128"/>
      <c r="M356" s="7" t="s">
        <v>16</v>
      </c>
      <c r="N356" s="130"/>
      <c r="O356" s="6"/>
      <c r="P356" s="132"/>
      <c r="Q356" s="134"/>
      <c r="R356" s="204"/>
    </row>
    <row r="357" spans="1:28" x14ac:dyDescent="0.3">
      <c r="A357" s="8">
        <v>1</v>
      </c>
      <c r="B357" s="9" t="s">
        <v>43</v>
      </c>
      <c r="C357" s="10">
        <v>100</v>
      </c>
      <c r="D357" s="10">
        <v>200</v>
      </c>
      <c r="E357" s="11">
        <f>C357/D357</f>
        <v>0.5</v>
      </c>
      <c r="F357" s="6"/>
      <c r="G357" s="12">
        <v>10</v>
      </c>
      <c r="H357" s="13">
        <f t="shared" ref="H357:H366" si="58">G357*E357</f>
        <v>5</v>
      </c>
      <c r="I357" s="6"/>
      <c r="J357" s="8">
        <v>1</v>
      </c>
      <c r="K357" s="9"/>
      <c r="L357" s="10">
        <v>0</v>
      </c>
      <c r="M357" s="10">
        <v>1</v>
      </c>
      <c r="N357" s="11">
        <f>L357/M357</f>
        <v>0</v>
      </c>
      <c r="O357" s="6"/>
      <c r="P357" s="12">
        <v>0</v>
      </c>
      <c r="Q357" s="13">
        <f t="shared" ref="Q357:Q366" si="59">P357*N357</f>
        <v>0</v>
      </c>
      <c r="R357" s="6"/>
    </row>
    <row r="358" spans="1:28" x14ac:dyDescent="0.3">
      <c r="A358" s="8">
        <v>2</v>
      </c>
      <c r="B358" s="9" t="s">
        <v>25</v>
      </c>
      <c r="C358" s="10">
        <v>85</v>
      </c>
      <c r="D358" s="10">
        <v>200</v>
      </c>
      <c r="E358" s="14">
        <f t="shared" ref="E358:E366" si="60">C358/D358</f>
        <v>0.42499999999999999</v>
      </c>
      <c r="F358" s="6"/>
      <c r="G358" s="12">
        <v>5</v>
      </c>
      <c r="H358" s="15">
        <f t="shared" si="58"/>
        <v>2.125</v>
      </c>
      <c r="I358" s="6"/>
      <c r="J358" s="8">
        <v>2</v>
      </c>
      <c r="K358" s="9" t="s">
        <v>133</v>
      </c>
      <c r="L358" s="10">
        <v>150</v>
      </c>
      <c r="M358" s="10">
        <v>900</v>
      </c>
      <c r="N358" s="14">
        <f t="shared" ref="N358:N366" si="61">L358/M358</f>
        <v>0.16666666666666666</v>
      </c>
      <c r="O358" s="6"/>
      <c r="P358" s="12">
        <v>100</v>
      </c>
      <c r="Q358" s="15">
        <f t="shared" si="59"/>
        <v>16.666666666666664</v>
      </c>
      <c r="R358" s="6"/>
    </row>
    <row r="359" spans="1:28" x14ac:dyDescent="0.3">
      <c r="A359" s="8">
        <v>3</v>
      </c>
      <c r="B359" s="9"/>
      <c r="C359" s="10">
        <v>0</v>
      </c>
      <c r="D359" s="10">
        <v>1000</v>
      </c>
      <c r="E359" s="14">
        <f t="shared" si="60"/>
        <v>0</v>
      </c>
      <c r="F359" s="6"/>
      <c r="G359" s="12">
        <v>0</v>
      </c>
      <c r="H359" s="13">
        <f t="shared" si="58"/>
        <v>0</v>
      </c>
      <c r="I359" s="6"/>
      <c r="J359" s="8">
        <v>3</v>
      </c>
      <c r="K359" s="9" t="s">
        <v>73</v>
      </c>
      <c r="L359" s="10">
        <v>225</v>
      </c>
      <c r="M359" s="10">
        <v>1000</v>
      </c>
      <c r="N359" s="14">
        <f t="shared" si="61"/>
        <v>0.22500000000000001</v>
      </c>
      <c r="O359" s="6"/>
      <c r="P359" s="12">
        <v>30</v>
      </c>
      <c r="Q359" s="13">
        <f t="shared" si="59"/>
        <v>6.75</v>
      </c>
      <c r="R359" s="6"/>
    </row>
    <row r="360" spans="1:28" x14ac:dyDescent="0.3">
      <c r="A360" s="8">
        <v>4</v>
      </c>
      <c r="B360" s="9" t="s">
        <v>71</v>
      </c>
      <c r="C360" s="10">
        <v>25</v>
      </c>
      <c r="D360" s="10">
        <v>67</v>
      </c>
      <c r="E360" s="14">
        <f t="shared" si="60"/>
        <v>0.37313432835820898</v>
      </c>
      <c r="F360" s="6"/>
      <c r="G360" s="12">
        <v>5</v>
      </c>
      <c r="H360" s="13">
        <f t="shared" si="58"/>
        <v>1.8656716417910448</v>
      </c>
      <c r="I360" s="6"/>
      <c r="J360" s="8">
        <v>4</v>
      </c>
      <c r="K360" s="9" t="s">
        <v>71</v>
      </c>
      <c r="L360" s="10">
        <v>25</v>
      </c>
      <c r="M360" s="10">
        <v>67</v>
      </c>
      <c r="N360" s="14">
        <f t="shared" si="61"/>
        <v>0.37313432835820898</v>
      </c>
      <c r="O360" s="6"/>
      <c r="P360" s="12">
        <v>5</v>
      </c>
      <c r="Q360" s="13">
        <f t="shared" si="59"/>
        <v>1.8656716417910448</v>
      </c>
      <c r="R360" s="6"/>
    </row>
    <row r="361" spans="1:28" x14ac:dyDescent="0.3">
      <c r="A361" s="8">
        <v>5</v>
      </c>
      <c r="B361" s="9" t="s">
        <v>69</v>
      </c>
      <c r="C361" s="10">
        <v>45</v>
      </c>
      <c r="D361" s="10">
        <v>800</v>
      </c>
      <c r="E361" s="14">
        <f t="shared" si="60"/>
        <v>5.6250000000000001E-2</v>
      </c>
      <c r="F361" s="6"/>
      <c r="G361" s="12">
        <v>40</v>
      </c>
      <c r="H361" s="13">
        <f t="shared" si="58"/>
        <v>2.25</v>
      </c>
      <c r="I361" s="22"/>
      <c r="J361" s="8">
        <v>5</v>
      </c>
      <c r="K361" s="9"/>
      <c r="L361" s="10">
        <v>0</v>
      </c>
      <c r="M361" s="10">
        <v>1</v>
      </c>
      <c r="N361" s="14">
        <f t="shared" si="61"/>
        <v>0</v>
      </c>
      <c r="O361" s="6"/>
      <c r="P361" s="12">
        <v>0</v>
      </c>
      <c r="Q361" s="13">
        <f t="shared" si="59"/>
        <v>0</v>
      </c>
      <c r="R361" s="22"/>
    </row>
    <row r="362" spans="1:28" x14ac:dyDescent="0.3">
      <c r="A362" s="8">
        <v>6</v>
      </c>
      <c r="B362" s="9" t="s">
        <v>35</v>
      </c>
      <c r="C362" s="10">
        <v>100</v>
      </c>
      <c r="D362" s="10">
        <v>50</v>
      </c>
      <c r="E362" s="14">
        <f t="shared" si="60"/>
        <v>2</v>
      </c>
      <c r="F362" s="6"/>
      <c r="G362" s="12">
        <v>1</v>
      </c>
      <c r="H362" s="13">
        <f t="shared" si="58"/>
        <v>2</v>
      </c>
      <c r="I362" s="6"/>
      <c r="J362" s="8">
        <v>6</v>
      </c>
      <c r="K362" s="9" t="s">
        <v>35</v>
      </c>
      <c r="L362" s="10">
        <v>100</v>
      </c>
      <c r="M362" s="10">
        <v>50</v>
      </c>
      <c r="N362" s="14">
        <f t="shared" si="61"/>
        <v>2</v>
      </c>
      <c r="O362" s="6"/>
      <c r="P362" s="12">
        <v>1</v>
      </c>
      <c r="Q362" s="13">
        <f t="shared" si="59"/>
        <v>2</v>
      </c>
      <c r="R362" s="6"/>
    </row>
    <row r="363" spans="1:28" x14ac:dyDescent="0.3">
      <c r="A363" s="8">
        <v>7</v>
      </c>
      <c r="B363" s="9" t="s">
        <v>29</v>
      </c>
      <c r="C363" s="10">
        <v>19</v>
      </c>
      <c r="D363" s="10">
        <v>100</v>
      </c>
      <c r="E363" s="14">
        <f t="shared" si="60"/>
        <v>0.19</v>
      </c>
      <c r="F363" s="6"/>
      <c r="G363" s="12">
        <v>1</v>
      </c>
      <c r="H363" s="13">
        <f t="shared" si="58"/>
        <v>0.19</v>
      </c>
      <c r="I363" s="6"/>
      <c r="J363" s="8">
        <v>7</v>
      </c>
      <c r="K363" s="9" t="s">
        <v>29</v>
      </c>
      <c r="L363" s="10">
        <v>19</v>
      </c>
      <c r="M363" s="10">
        <v>100</v>
      </c>
      <c r="N363" s="14">
        <f t="shared" si="61"/>
        <v>0.19</v>
      </c>
      <c r="O363" s="6"/>
      <c r="P363" s="12">
        <v>1</v>
      </c>
      <c r="Q363" s="13">
        <f t="shared" si="59"/>
        <v>0.19</v>
      </c>
      <c r="R363" s="6"/>
    </row>
    <row r="364" spans="1:28" x14ac:dyDescent="0.3">
      <c r="A364" s="8">
        <v>8</v>
      </c>
      <c r="B364" s="9"/>
      <c r="C364" s="10">
        <v>0</v>
      </c>
      <c r="D364" s="10">
        <v>450</v>
      </c>
      <c r="E364" s="14">
        <f t="shared" si="60"/>
        <v>0</v>
      </c>
      <c r="F364" s="6"/>
      <c r="G364" s="12">
        <v>0</v>
      </c>
      <c r="H364" s="13">
        <f t="shared" si="58"/>
        <v>0</v>
      </c>
      <c r="I364" s="6"/>
      <c r="J364" s="8">
        <v>8</v>
      </c>
      <c r="K364" s="9"/>
      <c r="L364" s="10">
        <v>0</v>
      </c>
      <c r="M364" s="10">
        <v>450</v>
      </c>
      <c r="N364" s="14">
        <f t="shared" si="61"/>
        <v>0</v>
      </c>
      <c r="O364" s="6"/>
      <c r="P364" s="12">
        <v>0</v>
      </c>
      <c r="Q364" s="13">
        <f t="shared" si="59"/>
        <v>0</v>
      </c>
      <c r="R364" s="6"/>
    </row>
    <row r="365" spans="1:28" x14ac:dyDescent="0.3">
      <c r="A365" s="8">
        <v>9</v>
      </c>
      <c r="B365" s="9"/>
      <c r="C365" s="10">
        <v>0</v>
      </c>
      <c r="D365" s="10">
        <v>1000</v>
      </c>
      <c r="E365" s="14">
        <f t="shared" si="60"/>
        <v>0</v>
      </c>
      <c r="F365" s="6"/>
      <c r="G365" s="12">
        <v>0</v>
      </c>
      <c r="H365" s="13">
        <f t="shared" si="58"/>
        <v>0</v>
      </c>
      <c r="I365" s="6"/>
      <c r="J365" s="8">
        <v>9</v>
      </c>
      <c r="K365" s="9"/>
      <c r="L365" s="10">
        <v>0</v>
      </c>
      <c r="M365" s="10">
        <v>1000</v>
      </c>
      <c r="N365" s="14">
        <f t="shared" si="61"/>
        <v>0</v>
      </c>
      <c r="O365" s="6"/>
      <c r="P365" s="12">
        <v>0</v>
      </c>
      <c r="Q365" s="13">
        <f t="shared" si="59"/>
        <v>0</v>
      </c>
      <c r="R365" s="6"/>
    </row>
    <row r="366" spans="1:28" ht="16.2" thickBot="1" x14ac:dyDescent="0.35">
      <c r="A366" s="16">
        <v>10</v>
      </c>
      <c r="B366" s="17"/>
      <c r="C366" s="18">
        <v>0</v>
      </c>
      <c r="D366" s="18">
        <v>2000</v>
      </c>
      <c r="E366" s="19">
        <f t="shared" si="60"/>
        <v>0</v>
      </c>
      <c r="F366" s="6"/>
      <c r="G366" s="12">
        <v>0</v>
      </c>
      <c r="H366" s="13">
        <f t="shared" si="58"/>
        <v>0</v>
      </c>
      <c r="I366" s="6"/>
      <c r="J366" s="16">
        <v>10</v>
      </c>
      <c r="K366" s="17"/>
      <c r="L366" s="18">
        <v>0</v>
      </c>
      <c r="M366" s="18">
        <v>2000</v>
      </c>
      <c r="N366" s="19">
        <f t="shared" si="61"/>
        <v>0</v>
      </c>
      <c r="O366" s="6"/>
      <c r="P366" s="12">
        <v>0</v>
      </c>
      <c r="Q366" s="13">
        <f t="shared" si="59"/>
        <v>0</v>
      </c>
      <c r="R366" s="6"/>
    </row>
    <row r="367" spans="1:28" ht="16.2" thickBot="1" x14ac:dyDescent="0.35">
      <c r="A367" s="6"/>
      <c r="B367" s="6"/>
      <c r="C367" s="6"/>
      <c r="D367" s="6"/>
      <c r="E367" s="6"/>
      <c r="F367" s="6"/>
      <c r="G367" s="20" t="s">
        <v>18</v>
      </c>
      <c r="H367" s="21">
        <f>SUM(H357:H366)</f>
        <v>13.430671641791044</v>
      </c>
      <c r="I367" s="6"/>
      <c r="J367" s="6"/>
      <c r="K367" s="6"/>
      <c r="L367" s="6"/>
      <c r="M367" s="6"/>
      <c r="N367" s="6"/>
      <c r="O367" s="6"/>
      <c r="P367" s="20" t="s">
        <v>18</v>
      </c>
      <c r="Q367" s="21">
        <f>SUM(Q357:Q366)</f>
        <v>27.472338308457712</v>
      </c>
      <c r="R367" s="6"/>
    </row>
    <row r="368" spans="1:28" ht="16.2" thickBot="1" x14ac:dyDescent="0.35">
      <c r="A368" s="6"/>
      <c r="B368" s="6"/>
      <c r="C368" s="6"/>
      <c r="D368" s="6"/>
      <c r="E368" s="6"/>
      <c r="F368" s="6"/>
      <c r="G368" s="22"/>
      <c r="H368" s="23"/>
      <c r="I368" s="6"/>
      <c r="J368" s="6"/>
      <c r="K368" s="6"/>
      <c r="L368" s="6"/>
      <c r="M368" s="6"/>
      <c r="N368" s="6"/>
      <c r="O368" s="6"/>
      <c r="P368" s="22"/>
      <c r="Q368" s="23"/>
      <c r="R368" s="6"/>
    </row>
    <row r="369" spans="1:18" x14ac:dyDescent="0.3">
      <c r="A369" s="110" t="s">
        <v>19</v>
      </c>
      <c r="B369" s="111"/>
      <c r="C369" s="111"/>
      <c r="D369" s="111"/>
      <c r="E369" s="111"/>
      <c r="F369" s="111"/>
      <c r="G369" s="111"/>
      <c r="H369" s="112"/>
      <c r="I369" s="6"/>
      <c r="J369" s="110" t="s">
        <v>19</v>
      </c>
      <c r="K369" s="111"/>
      <c r="L369" s="111"/>
      <c r="M369" s="111"/>
      <c r="N369" s="111"/>
      <c r="O369" s="111"/>
      <c r="P369" s="111"/>
      <c r="Q369" s="112"/>
      <c r="R369" s="6"/>
    </row>
    <row r="370" spans="1:18" x14ac:dyDescent="0.3">
      <c r="A370" s="113" t="s">
        <v>20</v>
      </c>
      <c r="B370" s="114"/>
      <c r="C370" s="115"/>
      <c r="D370" s="116">
        <f>H367</f>
        <v>13.430671641791044</v>
      </c>
      <c r="E370" s="116"/>
      <c r="F370" s="117" t="s">
        <v>21</v>
      </c>
      <c r="G370" s="118"/>
      <c r="H370" s="24">
        <f>D370*30%+D370</f>
        <v>17.459873134328355</v>
      </c>
      <c r="I370" s="6"/>
      <c r="J370" s="113" t="s">
        <v>20</v>
      </c>
      <c r="K370" s="114"/>
      <c r="L370" s="115"/>
      <c r="M370" s="116">
        <f>Q367</f>
        <v>27.472338308457712</v>
      </c>
      <c r="N370" s="116"/>
      <c r="O370" s="117" t="s">
        <v>21</v>
      </c>
      <c r="P370" s="118"/>
      <c r="Q370" s="24">
        <f>M370*30%+M370</f>
        <v>35.714039800995025</v>
      </c>
      <c r="R370" s="6"/>
    </row>
    <row r="371" spans="1:18" ht="16.2" thickBot="1" x14ac:dyDescent="0.35">
      <c r="A371" s="119" t="s">
        <v>22</v>
      </c>
      <c r="B371" s="120"/>
      <c r="C371" s="121"/>
      <c r="D371" s="122">
        <f>H370</f>
        <v>17.459873134328355</v>
      </c>
      <c r="E371" s="122"/>
      <c r="F371" s="123">
        <v>1.6</v>
      </c>
      <c r="G371" s="124"/>
      <c r="H371" s="25">
        <f>D371*F371</f>
        <v>27.93579701492537</v>
      </c>
      <c r="I371" s="6"/>
      <c r="J371" s="119" t="s">
        <v>22</v>
      </c>
      <c r="K371" s="120"/>
      <c r="L371" s="121"/>
      <c r="M371" s="122">
        <f>Q370</f>
        <v>35.714039800995025</v>
      </c>
      <c r="N371" s="122"/>
      <c r="O371" s="123">
        <v>1.6</v>
      </c>
      <c r="P371" s="124"/>
      <c r="Q371" s="25">
        <f>M371*O371</f>
        <v>57.142463681592041</v>
      </c>
      <c r="R371" s="6"/>
    </row>
    <row r="372" spans="1:18" ht="16.2" thickBot="1" x14ac:dyDescent="0.35">
      <c r="A372" s="26"/>
      <c r="B372" s="26"/>
      <c r="C372" s="26"/>
      <c r="D372" s="27"/>
      <c r="E372" s="27"/>
      <c r="F372" s="22"/>
      <c r="G372" s="22"/>
      <c r="H372" s="28"/>
      <c r="I372" s="6"/>
      <c r="J372" s="26"/>
      <c r="K372" s="26"/>
      <c r="L372" s="26"/>
      <c r="M372" s="27"/>
      <c r="N372" s="27"/>
      <c r="O372" s="22"/>
      <c r="P372" s="22"/>
      <c r="Q372" s="28"/>
      <c r="R372" s="6"/>
    </row>
    <row r="373" spans="1:18" ht="16.2" thickBot="1" x14ac:dyDescent="0.35">
      <c r="A373" s="139" t="s">
        <v>23</v>
      </c>
      <c r="B373" s="140"/>
      <c r="C373" s="141"/>
      <c r="D373" s="205">
        <v>1</v>
      </c>
      <c r="E373" s="206"/>
      <c r="F373" s="207" t="s">
        <v>24</v>
      </c>
      <c r="G373" s="208"/>
      <c r="H373" s="29">
        <f>H371/D373</f>
        <v>27.93579701492537</v>
      </c>
      <c r="I373" s="6"/>
      <c r="J373" s="139" t="s">
        <v>23</v>
      </c>
      <c r="K373" s="140"/>
      <c r="L373" s="141"/>
      <c r="M373" s="205">
        <v>1</v>
      </c>
      <c r="N373" s="206"/>
      <c r="O373" s="207" t="s">
        <v>24</v>
      </c>
      <c r="P373" s="208"/>
      <c r="Q373" s="29">
        <f>Q371/M373</f>
        <v>57.142463681592041</v>
      </c>
      <c r="R373" s="6"/>
    </row>
    <row r="374" spans="1:18" x14ac:dyDescent="0.3">
      <c r="A374" s="6"/>
      <c r="B374" s="6"/>
      <c r="C374" s="6"/>
      <c r="D374" s="6"/>
      <c r="E374" s="6"/>
      <c r="F374" s="6"/>
      <c r="G374" s="6"/>
      <c r="H374" s="6"/>
      <c r="I374" s="6"/>
    </row>
    <row r="375" spans="1:18" ht="16.2" thickBot="1" x14ac:dyDescent="0.35">
      <c r="A375" s="6"/>
      <c r="B375" s="6"/>
      <c r="C375" s="6"/>
      <c r="D375" s="6"/>
      <c r="E375" s="6"/>
      <c r="F375" s="6"/>
      <c r="G375" s="6"/>
      <c r="H375" s="6"/>
      <c r="I375" s="6"/>
    </row>
    <row r="376" spans="1:18" x14ac:dyDescent="0.3">
      <c r="A376" s="125" t="s">
        <v>9</v>
      </c>
      <c r="B376" s="127" t="s">
        <v>10</v>
      </c>
      <c r="C376" s="127" t="s">
        <v>11</v>
      </c>
      <c r="D376" s="5" t="s">
        <v>12</v>
      </c>
      <c r="E376" s="129" t="s">
        <v>13</v>
      </c>
      <c r="F376" s="6"/>
      <c r="G376" s="131" t="s">
        <v>14</v>
      </c>
      <c r="H376" s="133" t="s">
        <v>15</v>
      </c>
      <c r="I376" s="204" t="s">
        <v>32</v>
      </c>
      <c r="J376" s="125" t="s">
        <v>9</v>
      </c>
      <c r="K376" s="127" t="s">
        <v>10</v>
      </c>
      <c r="L376" s="127" t="s">
        <v>11</v>
      </c>
      <c r="M376" s="5" t="s">
        <v>12</v>
      </c>
      <c r="N376" s="129" t="s">
        <v>13</v>
      </c>
      <c r="O376" s="6"/>
      <c r="P376" s="131" t="s">
        <v>14</v>
      </c>
      <c r="Q376" s="133" t="s">
        <v>15</v>
      </c>
      <c r="R376" s="204" t="s">
        <v>102</v>
      </c>
    </row>
    <row r="377" spans="1:18" x14ac:dyDescent="0.3">
      <c r="A377" s="126"/>
      <c r="B377" s="128"/>
      <c r="C377" s="128"/>
      <c r="D377" s="7" t="s">
        <v>16</v>
      </c>
      <c r="E377" s="130"/>
      <c r="F377" s="6"/>
      <c r="G377" s="132"/>
      <c r="H377" s="134"/>
      <c r="I377" s="204"/>
      <c r="J377" s="126"/>
      <c r="K377" s="128"/>
      <c r="L377" s="128"/>
      <c r="M377" s="7" t="s">
        <v>16</v>
      </c>
      <c r="N377" s="130"/>
      <c r="O377" s="6"/>
      <c r="P377" s="132"/>
      <c r="Q377" s="134"/>
      <c r="R377" s="204"/>
    </row>
    <row r="378" spans="1:18" x14ac:dyDescent="0.3">
      <c r="A378" s="8">
        <v>1</v>
      </c>
      <c r="B378" s="9"/>
      <c r="C378" s="10">
        <v>0</v>
      </c>
      <c r="D378" s="10">
        <v>1</v>
      </c>
      <c r="E378" s="11">
        <f>C378/D378</f>
        <v>0</v>
      </c>
      <c r="F378" s="6"/>
      <c r="G378" s="12">
        <v>0</v>
      </c>
      <c r="H378" s="13">
        <f t="shared" ref="H378:H387" si="62">G378*E378</f>
        <v>0</v>
      </c>
      <c r="I378" s="6"/>
      <c r="J378" s="8">
        <v>1</v>
      </c>
      <c r="K378" s="9" t="s">
        <v>101</v>
      </c>
      <c r="L378" s="10">
        <v>85</v>
      </c>
      <c r="M378" s="10">
        <v>400</v>
      </c>
      <c r="N378" s="11">
        <f>L378/M378</f>
        <v>0.21249999999999999</v>
      </c>
      <c r="O378" s="6"/>
      <c r="P378" s="12">
        <v>15</v>
      </c>
      <c r="Q378" s="13">
        <f t="shared" ref="Q378:Q387" si="63">P378*N378</f>
        <v>3.1875</v>
      </c>
      <c r="R378" s="6"/>
    </row>
    <row r="379" spans="1:18" x14ac:dyDescent="0.3">
      <c r="A379" s="8">
        <v>2</v>
      </c>
      <c r="B379" s="9" t="s">
        <v>64</v>
      </c>
      <c r="C379" s="10">
        <v>85</v>
      </c>
      <c r="D379" s="10">
        <v>400</v>
      </c>
      <c r="E379" s="14">
        <f t="shared" ref="E379:E387" si="64">C379/D379</f>
        <v>0.21249999999999999</v>
      </c>
      <c r="F379" s="6"/>
      <c r="G379" s="12">
        <v>30</v>
      </c>
      <c r="H379" s="15">
        <f t="shared" si="62"/>
        <v>6.375</v>
      </c>
      <c r="I379" s="6"/>
      <c r="J379" s="8">
        <v>2</v>
      </c>
      <c r="K379" s="9"/>
      <c r="L379" s="10">
        <v>0</v>
      </c>
      <c r="M379" s="10">
        <v>1</v>
      </c>
      <c r="N379" s="14">
        <f t="shared" ref="N379:N387" si="65">L379/M379</f>
        <v>0</v>
      </c>
      <c r="O379" s="6"/>
      <c r="P379" s="12">
        <v>0</v>
      </c>
      <c r="Q379" s="15">
        <f t="shared" si="63"/>
        <v>0</v>
      </c>
      <c r="R379" s="6"/>
    </row>
    <row r="380" spans="1:18" x14ac:dyDescent="0.3">
      <c r="A380" s="8">
        <v>3</v>
      </c>
      <c r="B380" s="9" t="s">
        <v>41</v>
      </c>
      <c r="C380" s="10">
        <v>55</v>
      </c>
      <c r="D380" s="10">
        <v>1000</v>
      </c>
      <c r="E380" s="14">
        <f t="shared" si="64"/>
        <v>5.5E-2</v>
      </c>
      <c r="F380" s="6"/>
      <c r="G380" s="12">
        <v>40</v>
      </c>
      <c r="H380" s="13">
        <f t="shared" si="62"/>
        <v>2.2000000000000002</v>
      </c>
      <c r="I380" s="6"/>
      <c r="J380" s="8">
        <v>3</v>
      </c>
      <c r="K380" s="9"/>
      <c r="L380" s="10">
        <v>0</v>
      </c>
      <c r="M380" s="10">
        <v>1</v>
      </c>
      <c r="N380" s="14">
        <f t="shared" si="65"/>
        <v>0</v>
      </c>
      <c r="O380" s="6"/>
      <c r="P380" s="12">
        <v>0</v>
      </c>
      <c r="Q380" s="13">
        <f t="shared" si="63"/>
        <v>0</v>
      </c>
      <c r="R380" s="6"/>
    </row>
    <row r="381" spans="1:18" x14ac:dyDescent="0.3">
      <c r="A381" s="8">
        <v>4</v>
      </c>
      <c r="B381" s="9"/>
      <c r="C381" s="10">
        <v>0</v>
      </c>
      <c r="D381" s="10">
        <v>1</v>
      </c>
      <c r="E381" s="14">
        <f t="shared" si="64"/>
        <v>0</v>
      </c>
      <c r="F381" s="6"/>
      <c r="G381" s="12">
        <v>0</v>
      </c>
      <c r="H381" s="13">
        <f t="shared" si="62"/>
        <v>0</v>
      </c>
      <c r="I381" s="6"/>
      <c r="J381" s="8">
        <v>4</v>
      </c>
      <c r="K381" s="9" t="s">
        <v>71</v>
      </c>
      <c r="L381" s="10">
        <v>25</v>
      </c>
      <c r="M381" s="10">
        <v>67</v>
      </c>
      <c r="N381" s="14">
        <f t="shared" si="65"/>
        <v>0.37313432835820898</v>
      </c>
      <c r="O381" s="6"/>
      <c r="P381" s="12">
        <v>5</v>
      </c>
      <c r="Q381" s="13">
        <f t="shared" si="63"/>
        <v>1.8656716417910448</v>
      </c>
      <c r="R381" s="6"/>
    </row>
    <row r="382" spans="1:18" x14ac:dyDescent="0.3">
      <c r="A382" s="8">
        <v>5</v>
      </c>
      <c r="B382" s="9" t="s">
        <v>26</v>
      </c>
      <c r="C382" s="10">
        <v>118</v>
      </c>
      <c r="D382" s="10">
        <v>2000</v>
      </c>
      <c r="E382" s="14">
        <f t="shared" si="64"/>
        <v>5.8999999999999997E-2</v>
      </c>
      <c r="F382" s="6"/>
      <c r="G382" s="12">
        <v>30</v>
      </c>
      <c r="H382" s="13">
        <f t="shared" si="62"/>
        <v>1.77</v>
      </c>
      <c r="I382" s="6"/>
      <c r="J382" s="8">
        <v>5</v>
      </c>
      <c r="K382" s="9" t="s">
        <v>69</v>
      </c>
      <c r="L382" s="10">
        <v>45</v>
      </c>
      <c r="M382" s="10">
        <v>800</v>
      </c>
      <c r="N382" s="14">
        <f t="shared" si="65"/>
        <v>5.6250000000000001E-2</v>
      </c>
      <c r="O382" s="6"/>
      <c r="P382" s="12">
        <v>40</v>
      </c>
      <c r="Q382" s="13">
        <f t="shared" si="63"/>
        <v>2.25</v>
      </c>
      <c r="R382" s="22"/>
    </row>
    <row r="383" spans="1:18" x14ac:dyDescent="0.3">
      <c r="A383" s="8">
        <v>6</v>
      </c>
      <c r="B383" s="9" t="s">
        <v>28</v>
      </c>
      <c r="C383" s="10">
        <v>100</v>
      </c>
      <c r="D383" s="10">
        <v>50</v>
      </c>
      <c r="E383" s="14">
        <f t="shared" si="64"/>
        <v>2</v>
      </c>
      <c r="F383" s="6"/>
      <c r="G383" s="12">
        <v>1</v>
      </c>
      <c r="H383" s="13">
        <f t="shared" si="62"/>
        <v>2</v>
      </c>
      <c r="I383" s="6"/>
      <c r="J383" s="8">
        <v>6</v>
      </c>
      <c r="K383" s="9" t="s">
        <v>35</v>
      </c>
      <c r="L383" s="10">
        <v>100</v>
      </c>
      <c r="M383" s="10">
        <v>50</v>
      </c>
      <c r="N383" s="14">
        <f t="shared" si="65"/>
        <v>2</v>
      </c>
      <c r="O383" s="6"/>
      <c r="P383" s="12">
        <v>1</v>
      </c>
      <c r="Q383" s="13">
        <f t="shared" si="63"/>
        <v>2</v>
      </c>
      <c r="R383" s="6"/>
    </row>
    <row r="384" spans="1:18" x14ac:dyDescent="0.3">
      <c r="A384" s="8">
        <v>7</v>
      </c>
      <c r="B384" s="9" t="s">
        <v>29</v>
      </c>
      <c r="C384" s="10">
        <v>19</v>
      </c>
      <c r="D384" s="10">
        <v>100</v>
      </c>
      <c r="E384" s="14">
        <f t="shared" si="64"/>
        <v>0.19</v>
      </c>
      <c r="F384" s="6"/>
      <c r="G384" s="12">
        <v>1</v>
      </c>
      <c r="H384" s="13">
        <f t="shared" si="62"/>
        <v>0.19</v>
      </c>
      <c r="I384" s="6"/>
      <c r="J384" s="8">
        <v>7</v>
      </c>
      <c r="K384" s="9" t="s">
        <v>29</v>
      </c>
      <c r="L384" s="10">
        <v>19</v>
      </c>
      <c r="M384" s="10">
        <v>100</v>
      </c>
      <c r="N384" s="14">
        <f t="shared" si="65"/>
        <v>0.19</v>
      </c>
      <c r="O384" s="6"/>
      <c r="P384" s="12">
        <v>1</v>
      </c>
      <c r="Q384" s="13">
        <f t="shared" si="63"/>
        <v>0.19</v>
      </c>
      <c r="R384" s="6"/>
    </row>
    <row r="385" spans="1:28" x14ac:dyDescent="0.3">
      <c r="A385" s="8">
        <v>8</v>
      </c>
      <c r="B385" s="9"/>
      <c r="C385" s="10"/>
      <c r="D385" s="10">
        <v>450</v>
      </c>
      <c r="E385" s="14">
        <f t="shared" si="64"/>
        <v>0</v>
      </c>
      <c r="F385" s="6"/>
      <c r="G385" s="12">
        <v>0</v>
      </c>
      <c r="H385" s="13">
        <f t="shared" si="62"/>
        <v>0</v>
      </c>
      <c r="I385" s="6"/>
      <c r="J385" s="8">
        <v>8</v>
      </c>
      <c r="K385" s="9"/>
      <c r="L385" s="10">
        <v>0</v>
      </c>
      <c r="M385" s="10">
        <v>450</v>
      </c>
      <c r="N385" s="14">
        <f t="shared" si="65"/>
        <v>0</v>
      </c>
      <c r="O385" s="6"/>
      <c r="P385" s="12">
        <v>0</v>
      </c>
      <c r="Q385" s="13">
        <f t="shared" si="63"/>
        <v>0</v>
      </c>
      <c r="R385" s="6"/>
    </row>
    <row r="386" spans="1:28" x14ac:dyDescent="0.3">
      <c r="A386" s="8">
        <v>9</v>
      </c>
      <c r="B386" s="9" t="s">
        <v>45</v>
      </c>
      <c r="C386" s="10">
        <v>130</v>
      </c>
      <c r="D386" s="10">
        <v>1000</v>
      </c>
      <c r="E386" s="14">
        <f t="shared" si="64"/>
        <v>0.13</v>
      </c>
      <c r="F386" s="6"/>
      <c r="G386" s="12">
        <v>10</v>
      </c>
      <c r="H386" s="13">
        <f t="shared" si="62"/>
        <v>1.3</v>
      </c>
      <c r="I386" s="6"/>
      <c r="J386" s="8">
        <v>9</v>
      </c>
      <c r="K386" s="9"/>
      <c r="L386" s="10">
        <v>0</v>
      </c>
      <c r="M386" s="10">
        <v>1000</v>
      </c>
      <c r="N386" s="14">
        <f t="shared" si="65"/>
        <v>0</v>
      </c>
      <c r="O386" s="6"/>
      <c r="P386" s="12">
        <v>0</v>
      </c>
      <c r="Q386" s="13">
        <f t="shared" si="63"/>
        <v>0</v>
      </c>
      <c r="R386" s="6"/>
    </row>
    <row r="387" spans="1:28" ht="16.2" thickBot="1" x14ac:dyDescent="0.35">
      <c r="A387" s="16">
        <v>10</v>
      </c>
      <c r="B387" s="17" t="s">
        <v>63</v>
      </c>
      <c r="C387" s="18">
        <v>98</v>
      </c>
      <c r="D387" s="18">
        <v>2000</v>
      </c>
      <c r="E387" s="19">
        <f t="shared" si="64"/>
        <v>4.9000000000000002E-2</v>
      </c>
      <c r="F387" s="6"/>
      <c r="G387" s="12">
        <v>50</v>
      </c>
      <c r="H387" s="13">
        <f t="shared" si="62"/>
        <v>2.4500000000000002</v>
      </c>
      <c r="I387" s="6"/>
      <c r="J387" s="16">
        <v>10</v>
      </c>
      <c r="K387" s="17"/>
      <c r="L387" s="18">
        <v>0</v>
      </c>
      <c r="M387" s="18">
        <v>2000</v>
      </c>
      <c r="N387" s="19">
        <f t="shared" si="65"/>
        <v>0</v>
      </c>
      <c r="O387" s="6"/>
      <c r="P387" s="12">
        <v>0</v>
      </c>
      <c r="Q387" s="13">
        <f t="shared" si="63"/>
        <v>0</v>
      </c>
      <c r="R387" s="6"/>
    </row>
    <row r="388" spans="1:28" ht="16.2" thickBot="1" x14ac:dyDescent="0.35">
      <c r="A388" s="6"/>
      <c r="B388" s="6"/>
      <c r="C388" s="6"/>
      <c r="D388" s="6"/>
      <c r="E388" s="6"/>
      <c r="F388" s="6"/>
      <c r="G388" s="20" t="s">
        <v>18</v>
      </c>
      <c r="H388" s="21">
        <f>SUM(H378:H387)</f>
        <v>16.285</v>
      </c>
      <c r="I388" s="6"/>
      <c r="J388" s="6"/>
      <c r="K388" s="6"/>
      <c r="L388" s="6"/>
      <c r="M388" s="6"/>
      <c r="N388" s="6"/>
      <c r="O388" s="6"/>
      <c r="P388" s="20" t="s">
        <v>18</v>
      </c>
      <c r="Q388" s="21">
        <f>SUM(Q378:Q387)</f>
        <v>9.4931716417910454</v>
      </c>
      <c r="R388" s="6"/>
    </row>
    <row r="389" spans="1:28" ht="16.2" thickBot="1" x14ac:dyDescent="0.35">
      <c r="A389" s="6"/>
      <c r="B389" s="6"/>
      <c r="C389" s="6"/>
      <c r="D389" s="6"/>
      <c r="E389" s="6"/>
      <c r="F389" s="6"/>
      <c r="G389" s="22"/>
      <c r="H389" s="23"/>
      <c r="I389" s="6"/>
      <c r="J389" s="6"/>
      <c r="K389" s="6"/>
      <c r="L389" s="6"/>
      <c r="M389" s="6"/>
      <c r="N389" s="6"/>
      <c r="O389" s="6"/>
      <c r="P389" s="22"/>
      <c r="Q389" s="23"/>
      <c r="R389" s="6"/>
    </row>
    <row r="390" spans="1:28" x14ac:dyDescent="0.3">
      <c r="A390" s="110" t="s">
        <v>19</v>
      </c>
      <c r="B390" s="111"/>
      <c r="C390" s="111"/>
      <c r="D390" s="111"/>
      <c r="E390" s="111"/>
      <c r="F390" s="111"/>
      <c r="G390" s="111"/>
      <c r="H390" s="112"/>
      <c r="I390" s="6"/>
      <c r="J390" s="110" t="s">
        <v>19</v>
      </c>
      <c r="K390" s="111"/>
      <c r="L390" s="111"/>
      <c r="M390" s="111"/>
      <c r="N390" s="111"/>
      <c r="O390" s="111"/>
      <c r="P390" s="111"/>
      <c r="Q390" s="112"/>
      <c r="R390" s="6"/>
    </row>
    <row r="391" spans="1:28" x14ac:dyDescent="0.3">
      <c r="A391" s="113" t="s">
        <v>20</v>
      </c>
      <c r="B391" s="114"/>
      <c r="C391" s="115"/>
      <c r="D391" s="116">
        <f>H388</f>
        <v>16.285</v>
      </c>
      <c r="E391" s="116"/>
      <c r="F391" s="117" t="s">
        <v>21</v>
      </c>
      <c r="G391" s="118"/>
      <c r="H391" s="24">
        <f>D391*30%+D391</f>
        <v>21.170500000000001</v>
      </c>
      <c r="I391" s="6"/>
      <c r="J391" s="113" t="s">
        <v>20</v>
      </c>
      <c r="K391" s="114"/>
      <c r="L391" s="115"/>
      <c r="M391" s="116">
        <f>Q388</f>
        <v>9.4931716417910454</v>
      </c>
      <c r="N391" s="116"/>
      <c r="O391" s="117" t="s">
        <v>21</v>
      </c>
      <c r="P391" s="118"/>
      <c r="Q391" s="24">
        <f>M391*30%+M391</f>
        <v>12.34112313432836</v>
      </c>
      <c r="R391" s="6"/>
    </row>
    <row r="392" spans="1:28" ht="16.2" thickBot="1" x14ac:dyDescent="0.35">
      <c r="A392" s="119" t="s">
        <v>22</v>
      </c>
      <c r="B392" s="120"/>
      <c r="C392" s="121"/>
      <c r="D392" s="122">
        <f>H391</f>
        <v>21.170500000000001</v>
      </c>
      <c r="E392" s="122"/>
      <c r="F392" s="123">
        <v>1.6</v>
      </c>
      <c r="G392" s="124"/>
      <c r="H392" s="25">
        <f>D392*F392</f>
        <v>33.872800000000005</v>
      </c>
      <c r="I392" s="6"/>
      <c r="J392" s="119" t="s">
        <v>22</v>
      </c>
      <c r="K392" s="120"/>
      <c r="L392" s="121"/>
      <c r="M392" s="122">
        <f>Q391</f>
        <v>12.34112313432836</v>
      </c>
      <c r="N392" s="122"/>
      <c r="O392" s="123">
        <v>1.6</v>
      </c>
      <c r="P392" s="124"/>
      <c r="Q392" s="25">
        <f>M392*O392</f>
        <v>19.745797014925376</v>
      </c>
      <c r="R392" s="6"/>
    </row>
    <row r="393" spans="1:28" ht="16.2" thickBot="1" x14ac:dyDescent="0.35">
      <c r="A393" s="26"/>
      <c r="B393" s="26"/>
      <c r="C393" s="26"/>
      <c r="D393" s="27"/>
      <c r="E393" s="27"/>
      <c r="F393" s="22"/>
      <c r="G393" s="22"/>
      <c r="H393" s="28"/>
      <c r="I393" s="6"/>
      <c r="J393" s="26"/>
      <c r="K393" s="26"/>
      <c r="L393" s="26"/>
      <c r="M393" s="27"/>
      <c r="N393" s="27"/>
      <c r="O393" s="22"/>
      <c r="P393" s="22"/>
      <c r="Q393" s="28"/>
      <c r="R393" s="6"/>
    </row>
    <row r="394" spans="1:28" ht="16.2" thickBot="1" x14ac:dyDescent="0.35">
      <c r="A394" s="139" t="s">
        <v>23</v>
      </c>
      <c r="B394" s="140"/>
      <c r="C394" s="141"/>
      <c r="D394" s="205">
        <v>1</v>
      </c>
      <c r="E394" s="206"/>
      <c r="F394" s="207" t="s">
        <v>24</v>
      </c>
      <c r="G394" s="208"/>
      <c r="H394" s="29">
        <f>H392/D394</f>
        <v>33.872800000000005</v>
      </c>
      <c r="I394" s="6"/>
      <c r="J394" s="139" t="s">
        <v>23</v>
      </c>
      <c r="K394" s="140"/>
      <c r="L394" s="141"/>
      <c r="M394" s="205">
        <v>1</v>
      </c>
      <c r="N394" s="206"/>
      <c r="O394" s="207" t="s">
        <v>24</v>
      </c>
      <c r="P394" s="208"/>
      <c r="Q394" s="29">
        <f>Q392/M394</f>
        <v>19.745797014925376</v>
      </c>
      <c r="R394" s="6"/>
    </row>
    <row r="395" spans="1:28" ht="16.2" thickBot="1" x14ac:dyDescent="0.35"/>
    <row r="396" spans="1:28" x14ac:dyDescent="0.3">
      <c r="A396" s="125" t="s">
        <v>9</v>
      </c>
      <c r="B396" s="127" t="s">
        <v>10</v>
      </c>
      <c r="C396" s="127" t="s">
        <v>11</v>
      </c>
      <c r="D396" s="5" t="s">
        <v>12</v>
      </c>
      <c r="E396" s="129" t="s">
        <v>13</v>
      </c>
      <c r="F396" s="6"/>
      <c r="G396" s="131" t="s">
        <v>14</v>
      </c>
      <c r="H396" s="133" t="s">
        <v>15</v>
      </c>
      <c r="I396" s="209" t="s">
        <v>17</v>
      </c>
      <c r="J396" s="125" t="s">
        <v>9</v>
      </c>
      <c r="K396" s="127" t="s">
        <v>10</v>
      </c>
      <c r="L396" s="127" t="s">
        <v>11</v>
      </c>
      <c r="M396" s="5" t="s">
        <v>12</v>
      </c>
      <c r="N396" s="129" t="s">
        <v>13</v>
      </c>
      <c r="O396" s="6"/>
      <c r="P396" s="131" t="s">
        <v>14</v>
      </c>
      <c r="Q396" s="133" t="s">
        <v>15</v>
      </c>
      <c r="R396" s="209" t="s">
        <v>119</v>
      </c>
      <c r="T396" s="125" t="s">
        <v>9</v>
      </c>
      <c r="U396" s="127" t="s">
        <v>10</v>
      </c>
      <c r="V396" s="127" t="s">
        <v>11</v>
      </c>
      <c r="W396" s="5" t="s">
        <v>12</v>
      </c>
      <c r="X396" s="129" t="s">
        <v>13</v>
      </c>
      <c r="Y396" s="6"/>
      <c r="Z396" s="131" t="s">
        <v>14</v>
      </c>
      <c r="AA396" s="133" t="s">
        <v>15</v>
      </c>
      <c r="AB396" s="209" t="s">
        <v>125</v>
      </c>
    </row>
    <row r="397" spans="1:28" x14ac:dyDescent="0.3">
      <c r="A397" s="126"/>
      <c r="B397" s="128"/>
      <c r="C397" s="128"/>
      <c r="D397" s="7" t="s">
        <v>16</v>
      </c>
      <c r="E397" s="130"/>
      <c r="F397" s="6"/>
      <c r="G397" s="132"/>
      <c r="H397" s="134"/>
      <c r="I397" s="209"/>
      <c r="J397" s="126"/>
      <c r="K397" s="128"/>
      <c r="L397" s="128"/>
      <c r="M397" s="7" t="s">
        <v>16</v>
      </c>
      <c r="N397" s="130"/>
      <c r="O397" s="6"/>
      <c r="P397" s="132"/>
      <c r="Q397" s="134"/>
      <c r="R397" s="209"/>
      <c r="T397" s="126"/>
      <c r="U397" s="128"/>
      <c r="V397" s="128"/>
      <c r="W397" s="7" t="s">
        <v>16</v>
      </c>
      <c r="X397" s="130"/>
      <c r="Y397" s="6"/>
      <c r="Z397" s="132"/>
      <c r="AA397" s="134"/>
      <c r="AB397" s="209"/>
    </row>
    <row r="398" spans="1:28" x14ac:dyDescent="0.3">
      <c r="A398" s="8">
        <v>1</v>
      </c>
      <c r="B398" s="9" t="s">
        <v>61</v>
      </c>
      <c r="C398" s="10">
        <v>98</v>
      </c>
      <c r="D398" s="10">
        <v>2000</v>
      </c>
      <c r="E398" s="11">
        <f t="shared" ref="E398:E404" si="66">C398/D398</f>
        <v>4.9000000000000002E-2</v>
      </c>
      <c r="F398" s="6"/>
      <c r="G398" s="12">
        <v>150</v>
      </c>
      <c r="H398" s="13">
        <f t="shared" ref="H398:H404" si="67">G398*E398</f>
        <v>7.3500000000000005</v>
      </c>
      <c r="I398" s="6"/>
      <c r="J398" s="8">
        <v>1</v>
      </c>
      <c r="K398" s="9" t="s">
        <v>61</v>
      </c>
      <c r="L398" s="10">
        <v>98</v>
      </c>
      <c r="M398" s="10">
        <v>2000</v>
      </c>
      <c r="N398" s="11">
        <f t="shared" ref="N398:N404" si="68">L398/M398</f>
        <v>4.9000000000000002E-2</v>
      </c>
      <c r="O398" s="6"/>
      <c r="P398" s="12">
        <v>150</v>
      </c>
      <c r="Q398" s="13">
        <f t="shared" ref="Q398:Q404" si="69">P398*N398</f>
        <v>7.3500000000000005</v>
      </c>
      <c r="R398" s="6"/>
      <c r="T398" s="8">
        <v>1</v>
      </c>
      <c r="U398" s="9" t="s">
        <v>39</v>
      </c>
      <c r="V398" s="10">
        <v>265</v>
      </c>
      <c r="W398" s="10">
        <v>350</v>
      </c>
      <c r="X398" s="11">
        <f t="shared" ref="X398:X404" si="70">V398/W398</f>
        <v>0.75714285714285712</v>
      </c>
      <c r="Y398" s="6"/>
      <c r="Z398" s="12">
        <v>20</v>
      </c>
      <c r="AA398" s="13">
        <f t="shared" ref="AA398:AA404" si="71">Z398*X398</f>
        <v>15.142857142857142</v>
      </c>
      <c r="AB398" s="6"/>
    </row>
    <row r="399" spans="1:28" x14ac:dyDescent="0.3">
      <c r="A399" s="8">
        <v>2</v>
      </c>
      <c r="B399" s="9" t="s">
        <v>41</v>
      </c>
      <c r="C399" s="10">
        <v>55</v>
      </c>
      <c r="D399" s="10">
        <v>1000</v>
      </c>
      <c r="E399" s="14">
        <f t="shared" si="66"/>
        <v>5.5E-2</v>
      </c>
      <c r="F399" s="6"/>
      <c r="G399" s="12">
        <v>30</v>
      </c>
      <c r="H399" s="15">
        <f t="shared" si="67"/>
        <v>1.65</v>
      </c>
      <c r="I399" s="6"/>
      <c r="J399" s="8">
        <v>2</v>
      </c>
      <c r="K399" s="9" t="s">
        <v>41</v>
      </c>
      <c r="L399" s="10">
        <v>55</v>
      </c>
      <c r="M399" s="10">
        <v>1000</v>
      </c>
      <c r="N399" s="14">
        <f t="shared" si="68"/>
        <v>5.5E-2</v>
      </c>
      <c r="O399" s="6"/>
      <c r="P399" s="12">
        <v>30</v>
      </c>
      <c r="Q399" s="15">
        <f t="shared" si="69"/>
        <v>1.65</v>
      </c>
      <c r="R399" s="6"/>
      <c r="T399" s="8">
        <v>2</v>
      </c>
      <c r="U399" s="9" t="s">
        <v>34</v>
      </c>
      <c r="V399" s="10">
        <v>4.5999999999999996</v>
      </c>
      <c r="W399" s="10">
        <v>1500</v>
      </c>
      <c r="X399" s="14">
        <f t="shared" si="70"/>
        <v>3.0666666666666663E-3</v>
      </c>
      <c r="Y399" s="6"/>
      <c r="Z399" s="12">
        <v>30</v>
      </c>
      <c r="AA399" s="15">
        <f t="shared" si="71"/>
        <v>9.1999999999999985E-2</v>
      </c>
      <c r="AB399" s="6"/>
    </row>
    <row r="400" spans="1:28" x14ac:dyDescent="0.3">
      <c r="A400" s="8">
        <v>3</v>
      </c>
      <c r="B400" s="9" t="s">
        <v>27</v>
      </c>
      <c r="C400" s="10">
        <v>118</v>
      </c>
      <c r="D400" s="10">
        <v>2000</v>
      </c>
      <c r="E400" s="14">
        <f t="shared" si="66"/>
        <v>5.8999999999999997E-2</v>
      </c>
      <c r="F400" s="6"/>
      <c r="G400" s="12">
        <v>20</v>
      </c>
      <c r="H400" s="13">
        <f t="shared" si="67"/>
        <v>1.18</v>
      </c>
      <c r="I400" s="6"/>
      <c r="J400" s="8">
        <v>3</v>
      </c>
      <c r="K400" s="9" t="s">
        <v>27</v>
      </c>
      <c r="L400" s="10">
        <v>118</v>
      </c>
      <c r="M400" s="10">
        <v>2000</v>
      </c>
      <c r="N400" s="14">
        <f t="shared" si="68"/>
        <v>5.8999999999999997E-2</v>
      </c>
      <c r="O400" s="6"/>
      <c r="P400" s="12">
        <v>10</v>
      </c>
      <c r="Q400" s="13">
        <f t="shared" si="69"/>
        <v>0.59</v>
      </c>
      <c r="R400" s="6"/>
      <c r="T400" s="8">
        <v>3</v>
      </c>
      <c r="U400" s="9" t="s">
        <v>47</v>
      </c>
      <c r="V400" s="10">
        <v>98</v>
      </c>
      <c r="W400" s="10">
        <v>2000</v>
      </c>
      <c r="X400" s="14">
        <f t="shared" si="70"/>
        <v>4.9000000000000002E-2</v>
      </c>
      <c r="Y400" s="6"/>
      <c r="Z400" s="12">
        <v>90</v>
      </c>
      <c r="AA400" s="13">
        <f t="shared" si="71"/>
        <v>4.41</v>
      </c>
      <c r="AB400" s="6"/>
    </row>
    <row r="401" spans="1:28" x14ac:dyDescent="0.3">
      <c r="A401" s="8">
        <v>4</v>
      </c>
      <c r="B401" s="9"/>
      <c r="C401" s="10">
        <v>0</v>
      </c>
      <c r="D401" s="10">
        <v>2000</v>
      </c>
      <c r="E401" s="14">
        <f t="shared" si="66"/>
        <v>0</v>
      </c>
      <c r="F401" s="6"/>
      <c r="G401" s="12">
        <v>0</v>
      </c>
      <c r="H401" s="13">
        <f t="shared" si="67"/>
        <v>0</v>
      </c>
      <c r="I401" s="6"/>
      <c r="J401" s="8">
        <v>4</v>
      </c>
      <c r="K401" s="9"/>
      <c r="L401" s="10">
        <v>0</v>
      </c>
      <c r="M401" s="10">
        <v>2000</v>
      </c>
      <c r="N401" s="14">
        <f t="shared" si="68"/>
        <v>0</v>
      </c>
      <c r="O401" s="6"/>
      <c r="P401" s="12">
        <v>30</v>
      </c>
      <c r="Q401" s="13">
        <f t="shared" si="69"/>
        <v>0</v>
      </c>
      <c r="R401" s="6"/>
      <c r="T401" s="8">
        <v>4</v>
      </c>
      <c r="U401" s="9" t="s">
        <v>42</v>
      </c>
      <c r="V401" s="10">
        <v>145</v>
      </c>
      <c r="W401" s="10">
        <v>700</v>
      </c>
      <c r="X401" s="14">
        <f t="shared" si="70"/>
        <v>0.20714285714285716</v>
      </c>
      <c r="Y401" s="6"/>
      <c r="Z401" s="12">
        <v>10</v>
      </c>
      <c r="AA401" s="13">
        <f t="shared" si="71"/>
        <v>2.0714285714285716</v>
      </c>
      <c r="AB401" s="6"/>
    </row>
    <row r="402" spans="1:28" x14ac:dyDescent="0.3">
      <c r="A402" s="8">
        <v>5</v>
      </c>
      <c r="B402" s="9" t="s">
        <v>28</v>
      </c>
      <c r="C402" s="10">
        <v>100</v>
      </c>
      <c r="D402" s="10">
        <v>50</v>
      </c>
      <c r="E402" s="14">
        <f t="shared" si="66"/>
        <v>2</v>
      </c>
      <c r="F402" s="6"/>
      <c r="G402" s="12">
        <v>1</v>
      </c>
      <c r="H402" s="13">
        <f t="shared" si="67"/>
        <v>2</v>
      </c>
      <c r="I402" s="6"/>
      <c r="J402" s="8">
        <v>5</v>
      </c>
      <c r="K402" s="9" t="s">
        <v>28</v>
      </c>
      <c r="L402" s="10">
        <v>100</v>
      </c>
      <c r="M402" s="10">
        <v>50</v>
      </c>
      <c r="N402" s="14">
        <f t="shared" si="68"/>
        <v>2</v>
      </c>
      <c r="O402" s="6"/>
      <c r="P402" s="12">
        <v>1</v>
      </c>
      <c r="Q402" s="13">
        <f t="shared" si="69"/>
        <v>2</v>
      </c>
      <c r="R402" s="6"/>
      <c r="T402" s="8">
        <v>5</v>
      </c>
      <c r="U402" s="9" t="s">
        <v>28</v>
      </c>
      <c r="V402" s="10">
        <v>100</v>
      </c>
      <c r="W402" s="10">
        <v>50</v>
      </c>
      <c r="X402" s="14">
        <f t="shared" si="70"/>
        <v>2</v>
      </c>
      <c r="Y402" s="6"/>
      <c r="Z402" s="12">
        <v>1</v>
      </c>
      <c r="AA402" s="13">
        <f t="shared" si="71"/>
        <v>2</v>
      </c>
      <c r="AB402" s="6"/>
    </row>
    <row r="403" spans="1:28" x14ac:dyDescent="0.3">
      <c r="A403" s="8">
        <v>6</v>
      </c>
      <c r="B403" s="9" t="s">
        <v>29</v>
      </c>
      <c r="C403" s="10">
        <v>19</v>
      </c>
      <c r="D403" s="10">
        <v>100</v>
      </c>
      <c r="E403" s="14">
        <f t="shared" si="66"/>
        <v>0.19</v>
      </c>
      <c r="F403" s="6"/>
      <c r="G403" s="12">
        <v>1</v>
      </c>
      <c r="H403" s="13">
        <f t="shared" si="67"/>
        <v>0.19</v>
      </c>
      <c r="I403" s="6"/>
      <c r="J403" s="8">
        <v>6</v>
      </c>
      <c r="K403" s="9" t="s">
        <v>29</v>
      </c>
      <c r="L403" s="10">
        <v>19</v>
      </c>
      <c r="M403" s="10">
        <v>100</v>
      </c>
      <c r="N403" s="14">
        <f t="shared" si="68"/>
        <v>0.19</v>
      </c>
      <c r="O403" s="6"/>
      <c r="P403" s="12">
        <v>1</v>
      </c>
      <c r="Q403" s="13">
        <f t="shared" si="69"/>
        <v>0.19</v>
      </c>
      <c r="R403" s="6"/>
      <c r="T403" s="8">
        <v>6</v>
      </c>
      <c r="U403" s="9" t="s">
        <v>29</v>
      </c>
      <c r="V403" s="10">
        <v>19</v>
      </c>
      <c r="W403" s="10">
        <v>100</v>
      </c>
      <c r="X403" s="14">
        <f t="shared" si="70"/>
        <v>0.19</v>
      </c>
      <c r="Y403" s="6"/>
      <c r="Z403" s="12">
        <v>1</v>
      </c>
      <c r="AA403" s="13">
        <f t="shared" si="71"/>
        <v>0.19</v>
      </c>
      <c r="AB403" s="6"/>
    </row>
    <row r="404" spans="1:28" x14ac:dyDescent="0.3">
      <c r="A404" s="8">
        <v>7</v>
      </c>
      <c r="B404" s="9"/>
      <c r="C404" s="10">
        <v>0</v>
      </c>
      <c r="D404" s="10">
        <v>100</v>
      </c>
      <c r="E404" s="14">
        <f t="shared" si="66"/>
        <v>0</v>
      </c>
      <c r="F404" s="6"/>
      <c r="G404" s="12">
        <v>0</v>
      </c>
      <c r="H404" s="13">
        <f t="shared" si="67"/>
        <v>0</v>
      </c>
      <c r="I404" s="6"/>
      <c r="J404" s="8">
        <v>7</v>
      </c>
      <c r="K404" s="9" t="s">
        <v>118</v>
      </c>
      <c r="L404" s="10">
        <v>390</v>
      </c>
      <c r="M404" s="10">
        <v>700</v>
      </c>
      <c r="N404" s="14">
        <f t="shared" si="68"/>
        <v>0.55714285714285716</v>
      </c>
      <c r="O404" s="6"/>
      <c r="P404" s="12">
        <v>15</v>
      </c>
      <c r="Q404" s="13">
        <f t="shared" si="69"/>
        <v>8.3571428571428577</v>
      </c>
      <c r="R404" s="6"/>
      <c r="T404" s="8">
        <v>7</v>
      </c>
      <c r="U404" s="9" t="s">
        <v>118</v>
      </c>
      <c r="V404" s="10">
        <v>390</v>
      </c>
      <c r="W404" s="10">
        <v>700</v>
      </c>
      <c r="X404" s="14">
        <f t="shared" si="70"/>
        <v>0.55714285714285716</v>
      </c>
      <c r="Y404" s="6"/>
      <c r="Z404" s="12">
        <v>15</v>
      </c>
      <c r="AA404" s="13">
        <f t="shared" si="71"/>
        <v>8.3571428571428577</v>
      </c>
      <c r="AB404" s="6"/>
    </row>
    <row r="405" spans="1:28" x14ac:dyDescent="0.3">
      <c r="A405" s="8">
        <v>8</v>
      </c>
      <c r="B405" s="9"/>
      <c r="C405" s="10"/>
      <c r="D405" s="10"/>
      <c r="E405" s="14"/>
      <c r="F405" s="6"/>
      <c r="G405" s="12"/>
      <c r="H405" s="13"/>
      <c r="I405" s="6"/>
      <c r="J405" s="8">
        <v>8</v>
      </c>
      <c r="K405" s="9"/>
      <c r="L405" s="10"/>
      <c r="M405" s="10"/>
      <c r="N405" s="14"/>
      <c r="O405" s="6"/>
      <c r="P405" s="12"/>
      <c r="Q405" s="13"/>
      <c r="R405" s="6"/>
      <c r="T405" s="8">
        <v>8</v>
      </c>
      <c r="U405" s="9"/>
      <c r="V405" s="10"/>
      <c r="W405" s="10"/>
      <c r="X405" s="14"/>
      <c r="Y405" s="6"/>
      <c r="Z405" s="12"/>
      <c r="AA405" s="13"/>
      <c r="AB405" s="6"/>
    </row>
    <row r="406" spans="1:28" x14ac:dyDescent="0.3">
      <c r="A406" s="8">
        <v>9</v>
      </c>
      <c r="B406" s="9"/>
      <c r="C406" s="10"/>
      <c r="D406" s="10"/>
      <c r="E406" s="14"/>
      <c r="F406" s="6"/>
      <c r="G406" s="12"/>
      <c r="H406" s="13"/>
      <c r="I406" s="6"/>
      <c r="J406" s="8">
        <v>9</v>
      </c>
      <c r="K406" s="9"/>
      <c r="L406" s="10"/>
      <c r="M406" s="10"/>
      <c r="N406" s="14"/>
      <c r="O406" s="6"/>
      <c r="P406" s="12"/>
      <c r="Q406" s="13"/>
      <c r="R406" s="6"/>
      <c r="T406" s="8">
        <v>9</v>
      </c>
      <c r="U406" s="9"/>
      <c r="V406" s="10"/>
      <c r="W406" s="10"/>
      <c r="X406" s="14"/>
      <c r="Y406" s="6"/>
      <c r="Z406" s="12"/>
      <c r="AA406" s="13"/>
      <c r="AB406" s="6"/>
    </row>
    <row r="407" spans="1:28" ht="16.2" thickBot="1" x14ac:dyDescent="0.35">
      <c r="A407" s="16">
        <v>10</v>
      </c>
      <c r="B407" s="17"/>
      <c r="C407" s="18"/>
      <c r="D407" s="18"/>
      <c r="E407" s="19"/>
      <c r="F407" s="6"/>
      <c r="G407" s="12"/>
      <c r="H407" s="13"/>
      <c r="I407" s="6"/>
      <c r="J407" s="16">
        <v>10</v>
      </c>
      <c r="K407" s="17"/>
      <c r="L407" s="18"/>
      <c r="M407" s="18"/>
      <c r="N407" s="19"/>
      <c r="O407" s="6"/>
      <c r="P407" s="12"/>
      <c r="Q407" s="13"/>
      <c r="R407" s="6"/>
      <c r="T407" s="16">
        <v>10</v>
      </c>
      <c r="U407" s="17"/>
      <c r="V407" s="18"/>
      <c r="W407" s="18"/>
      <c r="X407" s="19"/>
      <c r="Y407" s="6"/>
      <c r="Z407" s="12"/>
      <c r="AA407" s="13"/>
      <c r="AB407" s="6"/>
    </row>
    <row r="408" spans="1:28" ht="16.2" thickBot="1" x14ac:dyDescent="0.35">
      <c r="A408" s="6"/>
      <c r="B408" s="6"/>
      <c r="C408" s="6"/>
      <c r="D408" s="6"/>
      <c r="E408" s="6"/>
      <c r="F408" s="6"/>
      <c r="G408" s="20" t="s">
        <v>18</v>
      </c>
      <c r="H408" s="21">
        <f>SUM(H398:H407)</f>
        <v>12.37</v>
      </c>
      <c r="I408" s="6"/>
      <c r="J408" s="6"/>
      <c r="K408" s="6"/>
      <c r="L408" s="6"/>
      <c r="M408" s="6"/>
      <c r="N408" s="6"/>
      <c r="O408" s="6"/>
      <c r="P408" s="20" t="s">
        <v>18</v>
      </c>
      <c r="Q408" s="21">
        <f>SUM(Q398:Q407)</f>
        <v>20.137142857142855</v>
      </c>
      <c r="R408" s="6"/>
      <c r="T408" s="6"/>
      <c r="U408" s="6"/>
      <c r="V408" s="6"/>
      <c r="W408" s="6"/>
      <c r="X408" s="6"/>
      <c r="Y408" s="6"/>
      <c r="Z408" s="20" t="s">
        <v>18</v>
      </c>
      <c r="AA408" s="21">
        <f>SUM(AA398:AA407)</f>
        <v>32.263428571428577</v>
      </c>
      <c r="AB408" s="6"/>
    </row>
    <row r="409" spans="1:28" ht="16.2" thickBo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x14ac:dyDescent="0.3">
      <c r="A410" s="110" t="s">
        <v>19</v>
      </c>
      <c r="B410" s="111"/>
      <c r="C410" s="111"/>
      <c r="D410" s="111"/>
      <c r="E410" s="111"/>
      <c r="F410" s="111"/>
      <c r="G410" s="111"/>
      <c r="H410" s="112"/>
      <c r="I410" s="6"/>
      <c r="J410" s="110" t="s">
        <v>19</v>
      </c>
      <c r="K410" s="111"/>
      <c r="L410" s="111"/>
      <c r="M410" s="111"/>
      <c r="N410" s="111"/>
      <c r="O410" s="111"/>
      <c r="P410" s="111"/>
      <c r="Q410" s="112"/>
      <c r="R410" s="6"/>
      <c r="T410" s="110" t="s">
        <v>19</v>
      </c>
      <c r="U410" s="111"/>
      <c r="V410" s="111"/>
      <c r="W410" s="111"/>
      <c r="X410" s="111"/>
      <c r="Y410" s="111"/>
      <c r="Z410" s="111"/>
      <c r="AA410" s="112"/>
      <c r="AB410" s="6"/>
    </row>
    <row r="411" spans="1:28" x14ac:dyDescent="0.3">
      <c r="A411" s="113" t="s">
        <v>20</v>
      </c>
      <c r="B411" s="114"/>
      <c r="C411" s="115"/>
      <c r="D411" s="116">
        <f>H408</f>
        <v>12.37</v>
      </c>
      <c r="E411" s="116"/>
      <c r="F411" s="117" t="s">
        <v>21</v>
      </c>
      <c r="G411" s="118"/>
      <c r="H411" s="24">
        <f>D411*30%+D411</f>
        <v>16.081</v>
      </c>
      <c r="I411" s="6"/>
      <c r="J411" s="113" t="s">
        <v>20</v>
      </c>
      <c r="K411" s="114"/>
      <c r="L411" s="115"/>
      <c r="M411" s="116">
        <f>Q408</f>
        <v>20.137142857142855</v>
      </c>
      <c r="N411" s="116"/>
      <c r="O411" s="117" t="s">
        <v>21</v>
      </c>
      <c r="P411" s="118"/>
      <c r="Q411" s="24">
        <f>M411*30%+M411</f>
        <v>26.17828571428571</v>
      </c>
      <c r="R411" s="6"/>
      <c r="T411" s="113" t="s">
        <v>20</v>
      </c>
      <c r="U411" s="114"/>
      <c r="V411" s="115"/>
      <c r="W411" s="116">
        <f>AA408</f>
        <v>32.263428571428577</v>
      </c>
      <c r="X411" s="116"/>
      <c r="Y411" s="117" t="s">
        <v>21</v>
      </c>
      <c r="Z411" s="118"/>
      <c r="AA411" s="24">
        <f>W411*30%+W411</f>
        <v>41.942457142857151</v>
      </c>
      <c r="AB411" s="6"/>
    </row>
    <row r="412" spans="1:28" ht="16.2" thickBot="1" x14ac:dyDescent="0.35">
      <c r="A412" s="119" t="s">
        <v>22</v>
      </c>
      <c r="B412" s="120"/>
      <c r="C412" s="121"/>
      <c r="D412" s="122">
        <f>H411</f>
        <v>16.081</v>
      </c>
      <c r="E412" s="122"/>
      <c r="F412" s="123">
        <v>1.6</v>
      </c>
      <c r="G412" s="124"/>
      <c r="H412" s="25">
        <f>D412*F412</f>
        <v>25.729600000000001</v>
      </c>
      <c r="I412" s="6"/>
      <c r="J412" s="119" t="s">
        <v>22</v>
      </c>
      <c r="K412" s="120"/>
      <c r="L412" s="121"/>
      <c r="M412" s="122">
        <f>Q411</f>
        <v>26.17828571428571</v>
      </c>
      <c r="N412" s="122"/>
      <c r="O412" s="123">
        <v>1.6</v>
      </c>
      <c r="P412" s="124"/>
      <c r="Q412" s="25">
        <f>M412*O412</f>
        <v>41.885257142857142</v>
      </c>
      <c r="R412" s="6"/>
      <c r="T412" s="119" t="s">
        <v>22</v>
      </c>
      <c r="U412" s="120"/>
      <c r="V412" s="121"/>
      <c r="W412" s="122">
        <f>AA411</f>
        <v>41.942457142857151</v>
      </c>
      <c r="X412" s="122"/>
      <c r="Y412" s="123">
        <v>1.6</v>
      </c>
      <c r="Z412" s="124"/>
      <c r="AA412" s="25">
        <f>W412*Y412</f>
        <v>67.107931428571447</v>
      </c>
      <c r="AB412" s="6"/>
    </row>
    <row r="413" spans="1:28" ht="16.2" thickBot="1" x14ac:dyDescent="0.35">
      <c r="A413" s="26"/>
      <c r="B413" s="26"/>
      <c r="C413" s="26"/>
      <c r="D413" s="27"/>
      <c r="E413" s="27"/>
      <c r="F413" s="22"/>
      <c r="G413" s="22"/>
      <c r="H413" s="28"/>
      <c r="I413" s="6"/>
      <c r="J413" s="26"/>
      <c r="K413" s="26"/>
      <c r="L413" s="26"/>
      <c r="M413" s="27"/>
      <c r="N413" s="27"/>
      <c r="O413" s="22"/>
      <c r="P413" s="22"/>
      <c r="Q413" s="28"/>
      <c r="R413" s="6"/>
      <c r="T413" s="26"/>
      <c r="U413" s="26"/>
      <c r="V413" s="26"/>
      <c r="W413" s="27"/>
      <c r="X413" s="27"/>
      <c r="Y413" s="22"/>
      <c r="Z413" s="22"/>
      <c r="AA413" s="28"/>
      <c r="AB413" s="6"/>
    </row>
    <row r="414" spans="1:28" ht="16.2" thickBot="1" x14ac:dyDescent="0.35">
      <c r="A414" s="139" t="s">
        <v>23</v>
      </c>
      <c r="B414" s="140"/>
      <c r="C414" s="141"/>
      <c r="D414" s="205">
        <v>1</v>
      </c>
      <c r="E414" s="206"/>
      <c r="F414" s="207" t="s">
        <v>24</v>
      </c>
      <c r="G414" s="208"/>
      <c r="H414" s="29">
        <f>H412/D414</f>
        <v>25.729600000000001</v>
      </c>
      <c r="I414" s="6"/>
      <c r="J414" s="139" t="s">
        <v>23</v>
      </c>
      <c r="K414" s="140"/>
      <c r="L414" s="141"/>
      <c r="M414" s="205">
        <v>1</v>
      </c>
      <c r="N414" s="206"/>
      <c r="O414" s="207" t="s">
        <v>24</v>
      </c>
      <c r="P414" s="208"/>
      <c r="Q414" s="29">
        <f>Q412/M414</f>
        <v>41.885257142857142</v>
      </c>
      <c r="R414" s="6"/>
      <c r="T414" s="139" t="s">
        <v>23</v>
      </c>
      <c r="U414" s="140"/>
      <c r="V414" s="141"/>
      <c r="W414" s="205">
        <v>1</v>
      </c>
      <c r="X414" s="206"/>
      <c r="Y414" s="207" t="s">
        <v>24</v>
      </c>
      <c r="Z414" s="208"/>
      <c r="AA414" s="29">
        <f>AA412/W414</f>
        <v>67.107931428571447</v>
      </c>
      <c r="AB414" s="6"/>
    </row>
    <row r="415" spans="1:28" ht="16.2" thickBot="1" x14ac:dyDescent="0.35"/>
    <row r="416" spans="1:28" x14ac:dyDescent="0.3">
      <c r="A416" s="125" t="s">
        <v>9</v>
      </c>
      <c r="B416" s="127" t="s">
        <v>10</v>
      </c>
      <c r="C416" s="127" t="s">
        <v>11</v>
      </c>
      <c r="D416" s="5" t="s">
        <v>12</v>
      </c>
      <c r="E416" s="129" t="s">
        <v>13</v>
      </c>
      <c r="F416" s="6"/>
      <c r="G416" s="131" t="s">
        <v>14</v>
      </c>
      <c r="H416" s="133" t="s">
        <v>15</v>
      </c>
      <c r="I416" s="209" t="s">
        <v>40</v>
      </c>
      <c r="J416" s="125" t="s">
        <v>9</v>
      </c>
      <c r="K416" s="127" t="s">
        <v>10</v>
      </c>
      <c r="L416" s="127" t="s">
        <v>11</v>
      </c>
      <c r="M416" s="5" t="s">
        <v>12</v>
      </c>
      <c r="N416" s="129" t="s">
        <v>13</v>
      </c>
      <c r="O416" s="6"/>
      <c r="P416" s="131" t="s">
        <v>14</v>
      </c>
      <c r="Q416" s="133" t="s">
        <v>15</v>
      </c>
      <c r="R416" s="209" t="s">
        <v>107</v>
      </c>
      <c r="T416" s="125" t="s">
        <v>9</v>
      </c>
      <c r="U416" s="127" t="s">
        <v>10</v>
      </c>
      <c r="V416" s="127" t="s">
        <v>11</v>
      </c>
      <c r="W416" s="5" t="s">
        <v>12</v>
      </c>
      <c r="X416" s="129" t="s">
        <v>13</v>
      </c>
      <c r="Y416" s="6"/>
      <c r="Z416" s="131" t="s">
        <v>14</v>
      </c>
      <c r="AA416" s="133" t="s">
        <v>15</v>
      </c>
      <c r="AB416" s="209" t="s">
        <v>110</v>
      </c>
    </row>
    <row r="417" spans="1:28" x14ac:dyDescent="0.3">
      <c r="A417" s="126"/>
      <c r="B417" s="128"/>
      <c r="C417" s="128"/>
      <c r="D417" s="7" t="s">
        <v>16</v>
      </c>
      <c r="E417" s="130"/>
      <c r="F417" s="6"/>
      <c r="G417" s="132"/>
      <c r="H417" s="134"/>
      <c r="I417" s="209"/>
      <c r="J417" s="126"/>
      <c r="K417" s="128"/>
      <c r="L417" s="128"/>
      <c r="M417" s="7" t="s">
        <v>16</v>
      </c>
      <c r="N417" s="130"/>
      <c r="O417" s="6"/>
      <c r="P417" s="132"/>
      <c r="Q417" s="134"/>
      <c r="R417" s="209"/>
      <c r="T417" s="126"/>
      <c r="U417" s="128"/>
      <c r="V417" s="128"/>
      <c r="W417" s="7" t="s">
        <v>16</v>
      </c>
      <c r="X417" s="130"/>
      <c r="Y417" s="6"/>
      <c r="Z417" s="132"/>
      <c r="AA417" s="134"/>
      <c r="AB417" s="209"/>
    </row>
    <row r="418" spans="1:28" x14ac:dyDescent="0.3">
      <c r="A418" s="8">
        <v>1</v>
      </c>
      <c r="B418" s="9" t="s">
        <v>39</v>
      </c>
      <c r="C418" s="10">
        <v>265</v>
      </c>
      <c r="D418" s="10">
        <v>350</v>
      </c>
      <c r="E418" s="11">
        <f t="shared" ref="E418:E426" si="72">C418/D418</f>
        <v>0.75714285714285712</v>
      </c>
      <c r="F418" s="6"/>
      <c r="G418" s="12">
        <v>20</v>
      </c>
      <c r="H418" s="13">
        <f t="shared" ref="H418:H426" si="73">G418*E418</f>
        <v>15.142857142857142</v>
      </c>
      <c r="I418" s="6"/>
      <c r="J418" s="8">
        <v>1</v>
      </c>
      <c r="K418" s="9" t="s">
        <v>39</v>
      </c>
      <c r="L418" s="10">
        <v>265</v>
      </c>
      <c r="M418" s="10">
        <v>350</v>
      </c>
      <c r="N418" s="11">
        <f t="shared" ref="N418:N426" si="74">L418/M418</f>
        <v>0.75714285714285712</v>
      </c>
      <c r="O418" s="6"/>
      <c r="P418" s="12">
        <v>20</v>
      </c>
      <c r="Q418" s="13">
        <f t="shared" ref="Q418:Q426" si="75">P418*N418</f>
        <v>15.142857142857142</v>
      </c>
      <c r="R418" s="6"/>
      <c r="T418" s="8">
        <v>1</v>
      </c>
      <c r="U418" s="9" t="s">
        <v>39</v>
      </c>
      <c r="V418" s="10">
        <v>265</v>
      </c>
      <c r="W418" s="10">
        <v>350</v>
      </c>
      <c r="X418" s="11">
        <f t="shared" ref="X418:X427" si="76">V418/W418</f>
        <v>0.75714285714285712</v>
      </c>
      <c r="Y418" s="6"/>
      <c r="Z418" s="12">
        <v>10</v>
      </c>
      <c r="AA418" s="13">
        <f t="shared" ref="AA418:AA427" si="77">Z418*X418</f>
        <v>7.5714285714285712</v>
      </c>
      <c r="AB418" s="6"/>
    </row>
    <row r="419" spans="1:28" x14ac:dyDescent="0.3">
      <c r="A419" s="8">
        <v>2</v>
      </c>
      <c r="B419" s="9" t="s">
        <v>34</v>
      </c>
      <c r="C419" s="10">
        <v>4.5999999999999996</v>
      </c>
      <c r="D419" s="10">
        <v>1500</v>
      </c>
      <c r="E419" s="14">
        <f t="shared" si="72"/>
        <v>3.0666666666666663E-3</v>
      </c>
      <c r="F419" s="6"/>
      <c r="G419" s="12">
        <v>30</v>
      </c>
      <c r="H419" s="15">
        <f t="shared" si="73"/>
        <v>9.1999999999999985E-2</v>
      </c>
      <c r="I419" s="6"/>
      <c r="J419" s="8">
        <v>2</v>
      </c>
      <c r="K419" s="9" t="s">
        <v>34</v>
      </c>
      <c r="L419" s="10">
        <v>4.5999999999999996</v>
      </c>
      <c r="M419" s="10">
        <v>1500</v>
      </c>
      <c r="N419" s="14">
        <f t="shared" si="74"/>
        <v>3.0666666666666663E-3</v>
      </c>
      <c r="O419" s="6"/>
      <c r="P419" s="12">
        <v>30</v>
      </c>
      <c r="Q419" s="15">
        <f t="shared" si="75"/>
        <v>9.1999999999999985E-2</v>
      </c>
      <c r="R419" s="6"/>
      <c r="T419" s="8">
        <v>2</v>
      </c>
      <c r="U419" s="9" t="s">
        <v>34</v>
      </c>
      <c r="V419" s="10">
        <v>4.5999999999999996</v>
      </c>
      <c r="W419" s="10">
        <v>1500</v>
      </c>
      <c r="X419" s="14">
        <f t="shared" si="76"/>
        <v>3.0666666666666663E-3</v>
      </c>
      <c r="Y419" s="6"/>
      <c r="Z419" s="12">
        <v>35</v>
      </c>
      <c r="AA419" s="15">
        <f t="shared" si="77"/>
        <v>0.10733333333333332</v>
      </c>
      <c r="AB419" s="6"/>
    </row>
    <row r="420" spans="1:28" x14ac:dyDescent="0.3">
      <c r="A420" s="8">
        <v>3</v>
      </c>
      <c r="B420" s="9" t="s">
        <v>47</v>
      </c>
      <c r="C420" s="10">
        <v>98</v>
      </c>
      <c r="D420" s="10">
        <v>2000</v>
      </c>
      <c r="E420" s="14">
        <f t="shared" si="72"/>
        <v>4.9000000000000002E-2</v>
      </c>
      <c r="F420" s="6"/>
      <c r="G420" s="12">
        <v>90</v>
      </c>
      <c r="H420" s="13">
        <f t="shared" si="73"/>
        <v>4.41</v>
      </c>
      <c r="I420" s="6"/>
      <c r="J420" s="8">
        <v>3</v>
      </c>
      <c r="K420" s="9" t="s">
        <v>47</v>
      </c>
      <c r="L420" s="10">
        <v>98</v>
      </c>
      <c r="M420" s="10">
        <v>2000</v>
      </c>
      <c r="N420" s="14">
        <f t="shared" si="74"/>
        <v>4.9000000000000002E-2</v>
      </c>
      <c r="O420" s="6"/>
      <c r="P420" s="12">
        <v>45</v>
      </c>
      <c r="Q420" s="13">
        <f t="shared" si="75"/>
        <v>2.2050000000000001</v>
      </c>
      <c r="R420" s="6"/>
      <c r="T420" s="8">
        <v>3</v>
      </c>
      <c r="U420" s="9" t="s">
        <v>47</v>
      </c>
      <c r="V420" s="10">
        <v>98</v>
      </c>
      <c r="W420" s="10">
        <v>2000</v>
      </c>
      <c r="X420" s="14">
        <f t="shared" si="76"/>
        <v>4.9000000000000002E-2</v>
      </c>
      <c r="Y420" s="6"/>
      <c r="Z420" s="12">
        <v>45</v>
      </c>
      <c r="AA420" s="13">
        <f t="shared" si="77"/>
        <v>2.2050000000000001</v>
      </c>
      <c r="AB420" s="6"/>
    </row>
    <row r="421" spans="1:28" x14ac:dyDescent="0.3">
      <c r="A421" s="8">
        <v>4</v>
      </c>
      <c r="B421" s="9" t="s">
        <v>42</v>
      </c>
      <c r="C421" s="10">
        <v>145</v>
      </c>
      <c r="D421" s="10">
        <v>700</v>
      </c>
      <c r="E421" s="14">
        <f t="shared" si="72"/>
        <v>0.20714285714285716</v>
      </c>
      <c r="F421" s="6"/>
      <c r="G421" s="12">
        <v>10</v>
      </c>
      <c r="H421" s="13">
        <f t="shared" si="73"/>
        <v>2.0714285714285716</v>
      </c>
      <c r="I421" s="6"/>
      <c r="J421" s="8">
        <v>4</v>
      </c>
      <c r="K421" s="9"/>
      <c r="L421" s="10">
        <v>0</v>
      </c>
      <c r="M421" s="10">
        <v>700</v>
      </c>
      <c r="N421" s="14">
        <f t="shared" si="74"/>
        <v>0</v>
      </c>
      <c r="O421" s="6"/>
      <c r="P421" s="12">
        <v>0</v>
      </c>
      <c r="Q421" s="13">
        <f t="shared" si="75"/>
        <v>0</v>
      </c>
      <c r="R421" s="6"/>
      <c r="T421" s="8">
        <v>4</v>
      </c>
      <c r="U421" s="9" t="s">
        <v>109</v>
      </c>
      <c r="V421" s="10">
        <v>340</v>
      </c>
      <c r="W421" s="10">
        <v>1000</v>
      </c>
      <c r="X421" s="14">
        <f t="shared" si="76"/>
        <v>0.34</v>
      </c>
      <c r="Y421" s="6"/>
      <c r="Z421" s="12">
        <v>18</v>
      </c>
      <c r="AA421" s="13">
        <f t="shared" si="77"/>
        <v>6.12</v>
      </c>
      <c r="AB421" s="6"/>
    </row>
    <row r="422" spans="1:28" x14ac:dyDescent="0.3">
      <c r="A422" s="8">
        <v>5</v>
      </c>
      <c r="B422" s="9" t="s">
        <v>28</v>
      </c>
      <c r="C422" s="10">
        <v>100</v>
      </c>
      <c r="D422" s="10">
        <v>50</v>
      </c>
      <c r="E422" s="14">
        <f t="shared" si="72"/>
        <v>2</v>
      </c>
      <c r="F422" s="6"/>
      <c r="G422" s="12">
        <v>1</v>
      </c>
      <c r="H422" s="13">
        <f t="shared" si="73"/>
        <v>2</v>
      </c>
      <c r="I422" s="6"/>
      <c r="J422" s="8">
        <v>5</v>
      </c>
      <c r="K422" s="9"/>
      <c r="L422" s="10">
        <v>0</v>
      </c>
      <c r="M422" s="10">
        <v>50</v>
      </c>
      <c r="N422" s="14">
        <f t="shared" si="74"/>
        <v>0</v>
      </c>
      <c r="O422" s="6"/>
      <c r="P422" s="12">
        <v>0</v>
      </c>
      <c r="Q422" s="13">
        <f t="shared" si="75"/>
        <v>0</v>
      </c>
      <c r="R422" s="6"/>
      <c r="T422" s="8">
        <v>5</v>
      </c>
      <c r="U422" s="9" t="s">
        <v>45</v>
      </c>
      <c r="V422" s="10">
        <v>130</v>
      </c>
      <c r="W422" s="10">
        <v>1000</v>
      </c>
      <c r="X422" s="14">
        <f t="shared" si="76"/>
        <v>0.13</v>
      </c>
      <c r="Y422" s="6"/>
      <c r="Z422" s="12">
        <v>5</v>
      </c>
      <c r="AA422" s="13">
        <f t="shared" si="77"/>
        <v>0.65</v>
      </c>
      <c r="AB422" s="6"/>
    </row>
    <row r="423" spans="1:28" x14ac:dyDescent="0.3">
      <c r="A423" s="8">
        <v>6</v>
      </c>
      <c r="B423" s="9" t="s">
        <v>29</v>
      </c>
      <c r="C423" s="10">
        <v>19</v>
      </c>
      <c r="D423" s="10">
        <v>100</v>
      </c>
      <c r="E423" s="14">
        <f t="shared" si="72"/>
        <v>0.19</v>
      </c>
      <c r="F423" s="6"/>
      <c r="G423" s="12">
        <v>1</v>
      </c>
      <c r="H423" s="13">
        <f t="shared" si="73"/>
        <v>0.19</v>
      </c>
      <c r="I423" s="6"/>
      <c r="J423" s="8">
        <v>6</v>
      </c>
      <c r="K423" s="9"/>
      <c r="L423" s="10">
        <v>0</v>
      </c>
      <c r="M423" s="10">
        <v>100</v>
      </c>
      <c r="N423" s="14">
        <f t="shared" si="74"/>
        <v>0</v>
      </c>
      <c r="O423" s="6"/>
      <c r="P423" s="12">
        <v>0</v>
      </c>
      <c r="Q423" s="13">
        <f t="shared" si="75"/>
        <v>0</v>
      </c>
      <c r="R423" s="6"/>
      <c r="T423" s="8">
        <v>6</v>
      </c>
      <c r="U423" s="9"/>
      <c r="V423" s="10">
        <v>0</v>
      </c>
      <c r="W423" s="10">
        <v>100</v>
      </c>
      <c r="X423" s="14">
        <f t="shared" si="76"/>
        <v>0</v>
      </c>
      <c r="Y423" s="6"/>
      <c r="Z423" s="12">
        <v>0</v>
      </c>
      <c r="AA423" s="13">
        <f t="shared" si="77"/>
        <v>0</v>
      </c>
      <c r="AB423" s="6"/>
    </row>
    <row r="424" spans="1:28" x14ac:dyDescent="0.3">
      <c r="A424" s="8">
        <v>7</v>
      </c>
      <c r="B424" s="9" t="s">
        <v>70</v>
      </c>
      <c r="C424" s="10">
        <v>118</v>
      </c>
      <c r="D424" s="10">
        <v>2000</v>
      </c>
      <c r="E424" s="14">
        <f t="shared" si="72"/>
        <v>5.8999999999999997E-2</v>
      </c>
      <c r="F424" s="6"/>
      <c r="G424" s="12">
        <v>30</v>
      </c>
      <c r="H424" s="13">
        <f t="shared" si="73"/>
        <v>1.77</v>
      </c>
      <c r="I424" s="6"/>
      <c r="J424" s="8">
        <v>7</v>
      </c>
      <c r="K424" s="9" t="s">
        <v>70</v>
      </c>
      <c r="L424" s="10">
        <v>118</v>
      </c>
      <c r="M424" s="10">
        <v>2000</v>
      </c>
      <c r="N424" s="14">
        <f t="shared" si="74"/>
        <v>5.8999999999999997E-2</v>
      </c>
      <c r="O424" s="6"/>
      <c r="P424" s="12">
        <v>10</v>
      </c>
      <c r="Q424" s="13">
        <f t="shared" si="75"/>
        <v>0.59</v>
      </c>
      <c r="R424" s="6"/>
      <c r="T424" s="8">
        <v>7</v>
      </c>
      <c r="U424" s="9" t="s">
        <v>70</v>
      </c>
      <c r="V424" s="10">
        <v>118</v>
      </c>
      <c r="W424" s="10">
        <v>2000</v>
      </c>
      <c r="X424" s="14">
        <f t="shared" si="76"/>
        <v>5.8999999999999997E-2</v>
      </c>
      <c r="Y424" s="6"/>
      <c r="Z424" s="12">
        <v>20</v>
      </c>
      <c r="AA424" s="13">
        <f t="shared" si="77"/>
        <v>1.18</v>
      </c>
      <c r="AB424" s="6"/>
    </row>
    <row r="425" spans="1:28" x14ac:dyDescent="0.3">
      <c r="A425" s="8">
        <v>8</v>
      </c>
      <c r="B425" s="9" t="s">
        <v>45</v>
      </c>
      <c r="C425" s="10">
        <v>130</v>
      </c>
      <c r="D425" s="10">
        <v>1000</v>
      </c>
      <c r="E425" s="14">
        <f t="shared" si="72"/>
        <v>0.13</v>
      </c>
      <c r="F425" s="6"/>
      <c r="G425" s="12">
        <v>10</v>
      </c>
      <c r="H425" s="13">
        <f t="shared" si="73"/>
        <v>1.3</v>
      </c>
      <c r="I425" s="6"/>
      <c r="J425" s="8">
        <v>8</v>
      </c>
      <c r="K425" s="9"/>
      <c r="L425" s="10">
        <v>0</v>
      </c>
      <c r="M425" s="10">
        <v>1000</v>
      </c>
      <c r="N425" s="14">
        <f t="shared" si="74"/>
        <v>0</v>
      </c>
      <c r="O425" s="6"/>
      <c r="P425" s="12">
        <v>0</v>
      </c>
      <c r="Q425" s="13">
        <f t="shared" si="75"/>
        <v>0</v>
      </c>
      <c r="R425" s="6"/>
      <c r="T425" s="8">
        <v>8</v>
      </c>
      <c r="U425" s="9" t="s">
        <v>35</v>
      </c>
      <c r="V425" s="10">
        <v>100</v>
      </c>
      <c r="W425" s="10">
        <v>50</v>
      </c>
      <c r="X425" s="14">
        <f t="shared" si="76"/>
        <v>2</v>
      </c>
      <c r="Y425" s="6"/>
      <c r="Z425" s="12">
        <v>1</v>
      </c>
      <c r="AA425" s="13">
        <f t="shared" si="77"/>
        <v>2</v>
      </c>
      <c r="AB425" s="6"/>
    </row>
    <row r="426" spans="1:28" x14ac:dyDescent="0.3">
      <c r="A426" s="8">
        <v>9</v>
      </c>
      <c r="B426" s="9"/>
      <c r="C426" s="10">
        <v>0</v>
      </c>
      <c r="D426" s="10">
        <v>1</v>
      </c>
      <c r="E426" s="14">
        <f t="shared" si="72"/>
        <v>0</v>
      </c>
      <c r="F426" s="6"/>
      <c r="G426" s="12">
        <v>0</v>
      </c>
      <c r="H426" s="13">
        <f t="shared" si="73"/>
        <v>0</v>
      </c>
      <c r="I426" s="6"/>
      <c r="J426" s="8">
        <v>9</v>
      </c>
      <c r="K426" s="9"/>
      <c r="L426" s="10">
        <v>0</v>
      </c>
      <c r="M426" s="10">
        <v>1</v>
      </c>
      <c r="N426" s="14">
        <f t="shared" si="74"/>
        <v>0</v>
      </c>
      <c r="O426" s="6"/>
      <c r="P426" s="12">
        <v>0</v>
      </c>
      <c r="Q426" s="13">
        <f t="shared" si="75"/>
        <v>0</v>
      </c>
      <c r="R426" s="6"/>
      <c r="T426" s="8">
        <v>9</v>
      </c>
      <c r="U426" s="9" t="s">
        <v>29</v>
      </c>
      <c r="V426" s="10">
        <v>19</v>
      </c>
      <c r="W426" s="10">
        <v>100</v>
      </c>
      <c r="X426" s="14">
        <f t="shared" si="76"/>
        <v>0.19</v>
      </c>
      <c r="Y426" s="6"/>
      <c r="Z426" s="12">
        <v>1</v>
      </c>
      <c r="AA426" s="13">
        <f t="shared" si="77"/>
        <v>0.19</v>
      </c>
      <c r="AB426" s="6"/>
    </row>
    <row r="427" spans="1:28" ht="16.2" thickBot="1" x14ac:dyDescent="0.35">
      <c r="A427" s="16">
        <v>10</v>
      </c>
      <c r="B427" s="17"/>
      <c r="C427" s="18"/>
      <c r="D427" s="18"/>
      <c r="E427" s="19"/>
      <c r="F427" s="6"/>
      <c r="G427" s="12"/>
      <c r="H427" s="13"/>
      <c r="I427" s="6"/>
      <c r="J427" s="16">
        <v>10</v>
      </c>
      <c r="K427" s="17"/>
      <c r="L427" s="18"/>
      <c r="M427" s="18"/>
      <c r="N427" s="19"/>
      <c r="O427" s="6"/>
      <c r="P427" s="12"/>
      <c r="Q427" s="13"/>
      <c r="R427" s="6"/>
      <c r="T427" s="16">
        <v>10</v>
      </c>
      <c r="U427" s="17" t="s">
        <v>111</v>
      </c>
      <c r="V427" s="18">
        <v>95</v>
      </c>
      <c r="W427" s="18">
        <v>2000</v>
      </c>
      <c r="X427" s="19">
        <f t="shared" si="76"/>
        <v>4.7500000000000001E-2</v>
      </c>
      <c r="Y427" s="6"/>
      <c r="Z427" s="12">
        <v>50</v>
      </c>
      <c r="AA427" s="13">
        <f t="shared" si="77"/>
        <v>2.375</v>
      </c>
      <c r="AB427" s="6"/>
    </row>
    <row r="428" spans="1:28" ht="16.2" thickBot="1" x14ac:dyDescent="0.35">
      <c r="A428" s="6"/>
      <c r="B428" s="6"/>
      <c r="C428" s="6"/>
      <c r="D428" s="6"/>
      <c r="E428" s="6"/>
      <c r="F428" s="6"/>
      <c r="G428" s="20" t="s">
        <v>18</v>
      </c>
      <c r="H428" s="21">
        <f>SUM(H418:H427)</f>
        <v>26.976285714285716</v>
      </c>
      <c r="I428" s="6"/>
      <c r="J428" s="6"/>
      <c r="K428" s="6"/>
      <c r="L428" s="6"/>
      <c r="M428" s="6"/>
      <c r="N428" s="6"/>
      <c r="O428" s="6"/>
      <c r="P428" s="20" t="s">
        <v>18</v>
      </c>
      <c r="Q428" s="21">
        <f>SUM(Q418:Q427)</f>
        <v>18.029857142857143</v>
      </c>
      <c r="R428" s="6"/>
      <c r="T428" s="6"/>
      <c r="U428" s="6"/>
      <c r="V428" s="6"/>
      <c r="W428" s="6"/>
      <c r="X428" s="6"/>
      <c r="Y428" s="6"/>
      <c r="Z428" s="20" t="s">
        <v>18</v>
      </c>
      <c r="AA428" s="21">
        <f>SUM(AA418:AA427)</f>
        <v>22.398761904761905</v>
      </c>
      <c r="AB428" s="6"/>
    </row>
    <row r="429" spans="1:28" ht="16.2" thickBo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x14ac:dyDescent="0.3">
      <c r="A430" s="110" t="s">
        <v>19</v>
      </c>
      <c r="B430" s="111"/>
      <c r="C430" s="111"/>
      <c r="D430" s="111"/>
      <c r="E430" s="111"/>
      <c r="F430" s="111"/>
      <c r="G430" s="111"/>
      <c r="H430" s="112"/>
      <c r="I430" s="6"/>
      <c r="J430" s="110" t="s">
        <v>19</v>
      </c>
      <c r="K430" s="111"/>
      <c r="L430" s="111"/>
      <c r="M430" s="111"/>
      <c r="N430" s="111"/>
      <c r="O430" s="111"/>
      <c r="P430" s="111"/>
      <c r="Q430" s="112"/>
      <c r="R430" s="6"/>
      <c r="T430" s="110" t="s">
        <v>19</v>
      </c>
      <c r="U430" s="111"/>
      <c r="V430" s="111"/>
      <c r="W430" s="111"/>
      <c r="X430" s="111"/>
      <c r="Y430" s="111"/>
      <c r="Z430" s="111"/>
      <c r="AA430" s="112"/>
      <c r="AB430" s="6"/>
    </row>
    <row r="431" spans="1:28" x14ac:dyDescent="0.3">
      <c r="A431" s="113" t="s">
        <v>20</v>
      </c>
      <c r="B431" s="114"/>
      <c r="C431" s="115"/>
      <c r="D431" s="116">
        <f>H428</f>
        <v>26.976285714285716</v>
      </c>
      <c r="E431" s="116"/>
      <c r="F431" s="117" t="s">
        <v>21</v>
      </c>
      <c r="G431" s="118"/>
      <c r="H431" s="24">
        <f>D431*30%+D431</f>
        <v>35.06917142857143</v>
      </c>
      <c r="I431" s="6"/>
      <c r="J431" s="113" t="s">
        <v>20</v>
      </c>
      <c r="K431" s="114"/>
      <c r="L431" s="115"/>
      <c r="M431" s="116">
        <f>Q428</f>
        <v>18.029857142857143</v>
      </c>
      <c r="N431" s="116"/>
      <c r="O431" s="117" t="s">
        <v>21</v>
      </c>
      <c r="P431" s="118"/>
      <c r="Q431" s="24">
        <f>M431*30%+M431</f>
        <v>23.438814285714287</v>
      </c>
      <c r="R431" s="6"/>
      <c r="T431" s="113" t="s">
        <v>20</v>
      </c>
      <c r="U431" s="114"/>
      <c r="V431" s="115"/>
      <c r="W431" s="116">
        <f>AA428</f>
        <v>22.398761904761905</v>
      </c>
      <c r="X431" s="116"/>
      <c r="Y431" s="117" t="s">
        <v>21</v>
      </c>
      <c r="Z431" s="118"/>
      <c r="AA431" s="24">
        <f>W431*30%+W431</f>
        <v>29.118390476190477</v>
      </c>
      <c r="AB431" s="6"/>
    </row>
    <row r="432" spans="1:28" ht="16.2" thickBot="1" x14ac:dyDescent="0.35">
      <c r="A432" s="119" t="s">
        <v>22</v>
      </c>
      <c r="B432" s="120"/>
      <c r="C432" s="121"/>
      <c r="D432" s="122">
        <f>H431</f>
        <v>35.06917142857143</v>
      </c>
      <c r="E432" s="122"/>
      <c r="F432" s="123">
        <v>1.6</v>
      </c>
      <c r="G432" s="124"/>
      <c r="H432" s="25">
        <f>D432*F432</f>
        <v>56.110674285714289</v>
      </c>
      <c r="I432" s="6"/>
      <c r="J432" s="119" t="s">
        <v>22</v>
      </c>
      <c r="K432" s="120"/>
      <c r="L432" s="121"/>
      <c r="M432" s="122">
        <f>Q431</f>
        <v>23.438814285714287</v>
      </c>
      <c r="N432" s="122"/>
      <c r="O432" s="123">
        <v>1.6</v>
      </c>
      <c r="P432" s="124"/>
      <c r="Q432" s="25">
        <f>M432*O432</f>
        <v>37.502102857142859</v>
      </c>
      <c r="R432" s="6"/>
      <c r="T432" s="119" t="s">
        <v>22</v>
      </c>
      <c r="U432" s="120"/>
      <c r="V432" s="121"/>
      <c r="W432" s="122">
        <f>AA431</f>
        <v>29.118390476190477</v>
      </c>
      <c r="X432" s="122"/>
      <c r="Y432" s="123">
        <v>1.6</v>
      </c>
      <c r="Z432" s="124"/>
      <c r="AA432" s="25">
        <f>W432*Y432</f>
        <v>46.589424761904766</v>
      </c>
      <c r="AB432" s="6"/>
    </row>
    <row r="433" spans="1:28" ht="16.2" thickBot="1" x14ac:dyDescent="0.35">
      <c r="A433" s="26"/>
      <c r="B433" s="26"/>
      <c r="C433" s="26"/>
      <c r="D433" s="27"/>
      <c r="E433" s="27"/>
      <c r="F433" s="22"/>
      <c r="G433" s="22"/>
      <c r="H433" s="28"/>
      <c r="I433" s="6"/>
      <c r="J433" s="26"/>
      <c r="K433" s="26"/>
      <c r="L433" s="26"/>
      <c r="M433" s="27"/>
      <c r="N433" s="27"/>
      <c r="O433" s="22"/>
      <c r="P433" s="22"/>
      <c r="Q433" s="28"/>
      <c r="R433" s="6"/>
      <c r="T433" s="26"/>
      <c r="U433" s="26"/>
      <c r="V433" s="26"/>
      <c r="W433" s="27"/>
      <c r="X433" s="27"/>
      <c r="Y433" s="22"/>
      <c r="Z433" s="22"/>
      <c r="AA433" s="28"/>
      <c r="AB433" s="6"/>
    </row>
    <row r="434" spans="1:28" ht="16.2" thickBot="1" x14ac:dyDescent="0.35">
      <c r="A434" s="139" t="s">
        <v>23</v>
      </c>
      <c r="B434" s="140"/>
      <c r="C434" s="141"/>
      <c r="D434" s="205">
        <v>1</v>
      </c>
      <c r="E434" s="206"/>
      <c r="F434" s="207" t="s">
        <v>24</v>
      </c>
      <c r="G434" s="208"/>
      <c r="H434" s="29">
        <f>H432/D434</f>
        <v>56.110674285714289</v>
      </c>
      <c r="I434" s="6"/>
      <c r="J434" s="139" t="s">
        <v>23</v>
      </c>
      <c r="K434" s="140"/>
      <c r="L434" s="141"/>
      <c r="M434" s="205">
        <v>1</v>
      </c>
      <c r="N434" s="206"/>
      <c r="O434" s="207" t="s">
        <v>24</v>
      </c>
      <c r="P434" s="208"/>
      <c r="Q434" s="29">
        <f>Q432/M434</f>
        <v>37.502102857142859</v>
      </c>
      <c r="R434" s="6"/>
      <c r="T434" s="139" t="s">
        <v>23</v>
      </c>
      <c r="U434" s="140"/>
      <c r="V434" s="141"/>
      <c r="W434" s="205">
        <v>1</v>
      </c>
      <c r="X434" s="206"/>
      <c r="Y434" s="207" t="s">
        <v>24</v>
      </c>
      <c r="Z434" s="208"/>
      <c r="AA434" s="29">
        <f>AA432/W434</f>
        <v>46.589424761904766</v>
      </c>
      <c r="AB434" s="6"/>
    </row>
    <row r="436" spans="1:28" x14ac:dyDescent="0.3">
      <c r="A436" s="238" t="s">
        <v>9</v>
      </c>
      <c r="B436" s="239" t="s">
        <v>10</v>
      </c>
      <c r="C436" s="239" t="s">
        <v>11</v>
      </c>
      <c r="D436" s="7" t="s">
        <v>12</v>
      </c>
      <c r="E436" s="240" t="s">
        <v>13</v>
      </c>
      <c r="F436" s="6"/>
      <c r="G436" s="241" t="s">
        <v>14</v>
      </c>
      <c r="H436" s="242" t="s">
        <v>15</v>
      </c>
      <c r="I436" s="237" t="s">
        <v>62</v>
      </c>
    </row>
    <row r="437" spans="1:28" x14ac:dyDescent="0.3">
      <c r="A437" s="126"/>
      <c r="B437" s="128"/>
      <c r="C437" s="128"/>
      <c r="D437" s="7" t="s">
        <v>16</v>
      </c>
      <c r="E437" s="130"/>
      <c r="F437" s="6"/>
      <c r="G437" s="132"/>
      <c r="H437" s="134"/>
      <c r="I437" s="237"/>
    </row>
    <row r="438" spans="1:28" x14ac:dyDescent="0.3">
      <c r="A438" s="8">
        <v>1</v>
      </c>
      <c r="B438" s="9"/>
      <c r="C438" s="10">
        <v>0</v>
      </c>
      <c r="D438" s="10">
        <v>1000</v>
      </c>
      <c r="E438" s="11">
        <f>C438/D438</f>
        <v>0</v>
      </c>
      <c r="F438" s="6"/>
      <c r="G438" s="12">
        <v>0</v>
      </c>
      <c r="H438" s="13">
        <f t="shared" ref="H438:H444" si="78">G438*E438</f>
        <v>0</v>
      </c>
      <c r="I438" s="6"/>
    </row>
    <row r="439" spans="1:28" x14ac:dyDescent="0.3">
      <c r="A439" s="8">
        <v>2</v>
      </c>
      <c r="B439" s="9" t="s">
        <v>65</v>
      </c>
      <c r="C439" s="10">
        <v>4.5999999999999996</v>
      </c>
      <c r="D439" s="10">
        <v>1500</v>
      </c>
      <c r="E439" s="14">
        <f t="shared" ref="E439:E444" si="79">C439/D439</f>
        <v>3.0666666666666663E-3</v>
      </c>
      <c r="F439" s="6"/>
      <c r="G439" s="12">
        <v>10</v>
      </c>
      <c r="H439" s="15">
        <f t="shared" si="78"/>
        <v>3.0666666666666662E-2</v>
      </c>
      <c r="I439" s="6"/>
    </row>
    <row r="440" spans="1:28" x14ac:dyDescent="0.3">
      <c r="A440" s="8">
        <v>3</v>
      </c>
      <c r="B440" s="9" t="s">
        <v>37</v>
      </c>
      <c r="C440" s="10">
        <v>180</v>
      </c>
      <c r="D440" s="10">
        <v>800</v>
      </c>
      <c r="E440" s="14">
        <f t="shared" si="79"/>
        <v>0.22500000000000001</v>
      </c>
      <c r="F440" s="6"/>
      <c r="G440" s="12">
        <v>30</v>
      </c>
      <c r="H440" s="13">
        <f t="shared" si="78"/>
        <v>6.75</v>
      </c>
      <c r="I440" s="6"/>
    </row>
    <row r="441" spans="1:28" x14ac:dyDescent="0.3">
      <c r="A441" s="8">
        <v>4</v>
      </c>
      <c r="B441" s="9" t="s">
        <v>73</v>
      </c>
      <c r="C441" s="10">
        <v>150</v>
      </c>
      <c r="D441" s="10">
        <v>1000</v>
      </c>
      <c r="E441" s="14">
        <f t="shared" si="79"/>
        <v>0.15</v>
      </c>
      <c r="F441" s="6"/>
      <c r="G441" s="12">
        <v>20</v>
      </c>
      <c r="H441" s="13">
        <f t="shared" si="78"/>
        <v>3</v>
      </c>
      <c r="I441" s="6"/>
    </row>
    <row r="442" spans="1:28" x14ac:dyDescent="0.3">
      <c r="A442" s="8">
        <v>5</v>
      </c>
      <c r="B442" s="9" t="s">
        <v>35</v>
      </c>
      <c r="C442" s="10">
        <v>100</v>
      </c>
      <c r="D442" s="10">
        <v>50</v>
      </c>
      <c r="E442" s="14">
        <f t="shared" si="79"/>
        <v>2</v>
      </c>
      <c r="F442" s="6"/>
      <c r="G442" s="12">
        <v>1</v>
      </c>
      <c r="H442" s="13">
        <f t="shared" si="78"/>
        <v>2</v>
      </c>
      <c r="I442" s="6"/>
    </row>
    <row r="443" spans="1:28" x14ac:dyDescent="0.3">
      <c r="A443" s="8">
        <v>6</v>
      </c>
      <c r="B443" s="9" t="s">
        <v>29</v>
      </c>
      <c r="C443" s="10">
        <v>19</v>
      </c>
      <c r="D443" s="10">
        <v>100</v>
      </c>
      <c r="E443" s="14">
        <f t="shared" si="79"/>
        <v>0.19</v>
      </c>
      <c r="F443" s="6"/>
      <c r="G443" s="12">
        <v>1</v>
      </c>
      <c r="H443" s="13">
        <f t="shared" si="78"/>
        <v>0.19</v>
      </c>
      <c r="I443" s="6"/>
    </row>
    <row r="444" spans="1:28" x14ac:dyDescent="0.3">
      <c r="A444" s="8">
        <v>7</v>
      </c>
      <c r="B444" s="9" t="s">
        <v>120</v>
      </c>
      <c r="C444" s="10">
        <v>8</v>
      </c>
      <c r="D444" s="10">
        <v>325</v>
      </c>
      <c r="E444" s="14">
        <f t="shared" si="79"/>
        <v>2.4615384615384615E-2</v>
      </c>
      <c r="F444" s="6"/>
      <c r="G444" s="12">
        <v>150</v>
      </c>
      <c r="H444" s="13">
        <f t="shared" si="78"/>
        <v>3.6923076923076925</v>
      </c>
      <c r="I444" s="6"/>
    </row>
    <row r="445" spans="1:28" x14ac:dyDescent="0.3">
      <c r="A445" s="8">
        <v>8</v>
      </c>
      <c r="B445" s="9"/>
      <c r="C445" s="10"/>
      <c r="D445" s="10"/>
      <c r="E445" s="14"/>
      <c r="F445" s="6"/>
      <c r="G445" s="12"/>
      <c r="H445" s="13"/>
      <c r="I445" s="6"/>
    </row>
    <row r="446" spans="1:28" x14ac:dyDescent="0.3">
      <c r="A446" s="8">
        <v>9</v>
      </c>
      <c r="B446" s="9"/>
      <c r="C446" s="10"/>
      <c r="D446" s="10"/>
      <c r="E446" s="14"/>
      <c r="F446" s="6"/>
      <c r="G446" s="12"/>
      <c r="H446" s="13"/>
      <c r="I446" s="6"/>
    </row>
    <row r="447" spans="1:28" ht="16.2" thickBot="1" x14ac:dyDescent="0.35">
      <c r="A447" s="16">
        <v>10</v>
      </c>
      <c r="B447" s="17"/>
      <c r="C447" s="18"/>
      <c r="D447" s="18"/>
      <c r="E447" s="19"/>
      <c r="F447" s="6"/>
      <c r="G447" s="12"/>
      <c r="H447" s="13"/>
      <c r="I447" s="6"/>
    </row>
    <row r="448" spans="1:28" ht="16.2" thickBot="1" x14ac:dyDescent="0.35">
      <c r="A448" s="6"/>
      <c r="B448" s="6"/>
      <c r="C448" s="6"/>
      <c r="D448" s="6"/>
      <c r="E448" s="6"/>
      <c r="F448" s="6"/>
      <c r="G448" s="20" t="s">
        <v>18</v>
      </c>
      <c r="H448" s="21">
        <f>SUM(H438:H447)</f>
        <v>15.66297435897436</v>
      </c>
      <c r="I448" s="6"/>
    </row>
    <row r="449" spans="1:9" ht="16.2" thickBot="1" x14ac:dyDescent="0.35">
      <c r="A449" s="6"/>
      <c r="B449" s="6"/>
      <c r="C449" s="6"/>
      <c r="D449" s="6"/>
      <c r="E449" s="6"/>
      <c r="F449" s="6"/>
      <c r="G449" s="6"/>
      <c r="H449" s="6"/>
      <c r="I449" s="6"/>
    </row>
    <row r="450" spans="1:9" x14ac:dyDescent="0.3">
      <c r="A450" s="110" t="s">
        <v>19</v>
      </c>
      <c r="B450" s="111"/>
      <c r="C450" s="111"/>
      <c r="D450" s="111"/>
      <c r="E450" s="111"/>
      <c r="F450" s="111"/>
      <c r="G450" s="111"/>
      <c r="H450" s="112"/>
      <c r="I450" s="6"/>
    </row>
    <row r="451" spans="1:9" x14ac:dyDescent="0.3">
      <c r="A451" s="113" t="s">
        <v>20</v>
      </c>
      <c r="B451" s="114"/>
      <c r="C451" s="115"/>
      <c r="D451" s="116">
        <f>H448</f>
        <v>15.66297435897436</v>
      </c>
      <c r="E451" s="116"/>
      <c r="F451" s="117" t="s">
        <v>21</v>
      </c>
      <c r="G451" s="118"/>
      <c r="H451" s="24">
        <f>D451*30%+D451</f>
        <v>20.361866666666668</v>
      </c>
      <c r="I451" s="6"/>
    </row>
    <row r="452" spans="1:9" ht="16.2" thickBot="1" x14ac:dyDescent="0.35">
      <c r="A452" s="119" t="s">
        <v>22</v>
      </c>
      <c r="B452" s="120"/>
      <c r="C452" s="121"/>
      <c r="D452" s="122">
        <f>H451</f>
        <v>20.361866666666668</v>
      </c>
      <c r="E452" s="122"/>
      <c r="F452" s="123">
        <v>1.6</v>
      </c>
      <c r="G452" s="124"/>
      <c r="H452" s="25">
        <f>D452*F452</f>
        <v>32.578986666666673</v>
      </c>
      <c r="I452" s="6"/>
    </row>
    <row r="453" spans="1:9" ht="16.2" thickBot="1" x14ac:dyDescent="0.35">
      <c r="A453" s="26"/>
      <c r="B453" s="26"/>
      <c r="C453" s="26"/>
      <c r="D453" s="27"/>
      <c r="E453" s="27"/>
      <c r="F453" s="22"/>
      <c r="G453" s="22"/>
      <c r="H453" s="28"/>
      <c r="I453" s="6"/>
    </row>
    <row r="454" spans="1:9" ht="16.2" thickBot="1" x14ac:dyDescent="0.35">
      <c r="A454" s="139" t="s">
        <v>23</v>
      </c>
      <c r="B454" s="140"/>
      <c r="C454" s="141"/>
      <c r="D454" s="205">
        <v>1</v>
      </c>
      <c r="E454" s="206"/>
      <c r="F454" s="207" t="s">
        <v>24</v>
      </c>
      <c r="G454" s="208"/>
      <c r="H454" s="29">
        <f>H452/D454</f>
        <v>32.578986666666673</v>
      </c>
      <c r="I454" s="6"/>
    </row>
  </sheetData>
  <mergeCells count="687">
    <mergeCell ref="AA274:AA275"/>
    <mergeCell ref="AB274:AB275"/>
    <mergeCell ref="T288:AA288"/>
    <mergeCell ref="T289:V289"/>
    <mergeCell ref="W289:X289"/>
    <mergeCell ref="Y289:Z289"/>
    <mergeCell ref="T290:V290"/>
    <mergeCell ref="W290:X290"/>
    <mergeCell ref="Y290:Z290"/>
    <mergeCell ref="T412:V412"/>
    <mergeCell ref="W412:X412"/>
    <mergeCell ref="Y412:Z412"/>
    <mergeCell ref="T414:V414"/>
    <mergeCell ref="W414:X414"/>
    <mergeCell ref="Y414:Z414"/>
    <mergeCell ref="T274:T275"/>
    <mergeCell ref="U274:U275"/>
    <mergeCell ref="V274:V275"/>
    <mergeCell ref="X274:X275"/>
    <mergeCell ref="Z274:Z275"/>
    <mergeCell ref="T292:V292"/>
    <mergeCell ref="W292:X292"/>
    <mergeCell ref="Y292:Z292"/>
    <mergeCell ref="T396:T397"/>
    <mergeCell ref="U396:U397"/>
    <mergeCell ref="V396:V397"/>
    <mergeCell ref="X396:X397"/>
    <mergeCell ref="Z396:Z397"/>
    <mergeCell ref="X335:X336"/>
    <mergeCell ref="Z335:Z336"/>
    <mergeCell ref="W353:X353"/>
    <mergeCell ref="Y353:Z353"/>
    <mergeCell ref="AA396:AA397"/>
    <mergeCell ref="AB396:AB397"/>
    <mergeCell ref="T410:AA410"/>
    <mergeCell ref="T411:V411"/>
    <mergeCell ref="W411:X411"/>
    <mergeCell ref="Y411:Z411"/>
    <mergeCell ref="J396:J397"/>
    <mergeCell ref="K396:K397"/>
    <mergeCell ref="L396:L397"/>
    <mergeCell ref="N396:N397"/>
    <mergeCell ref="P396:P397"/>
    <mergeCell ref="Q396:Q397"/>
    <mergeCell ref="R396:R397"/>
    <mergeCell ref="O411:P411"/>
    <mergeCell ref="Q376:Q377"/>
    <mergeCell ref="R376:R377"/>
    <mergeCell ref="J390:Q390"/>
    <mergeCell ref="J391:L391"/>
    <mergeCell ref="M391:N391"/>
    <mergeCell ref="O391:P391"/>
    <mergeCell ref="J392:L392"/>
    <mergeCell ref="J434:L434"/>
    <mergeCell ref="M434:N434"/>
    <mergeCell ref="O434:P434"/>
    <mergeCell ref="J416:J417"/>
    <mergeCell ref="K416:K417"/>
    <mergeCell ref="L416:L417"/>
    <mergeCell ref="N416:N417"/>
    <mergeCell ref="P416:P417"/>
    <mergeCell ref="J394:L394"/>
    <mergeCell ref="M394:N394"/>
    <mergeCell ref="O394:P394"/>
    <mergeCell ref="J432:L432"/>
    <mergeCell ref="M432:N432"/>
    <mergeCell ref="O432:P432"/>
    <mergeCell ref="J410:Q410"/>
    <mergeCell ref="J411:L411"/>
    <mergeCell ref="M411:N411"/>
    <mergeCell ref="J412:L412"/>
    <mergeCell ref="M412:N412"/>
    <mergeCell ref="O412:P412"/>
    <mergeCell ref="J414:L414"/>
    <mergeCell ref="M414:N414"/>
    <mergeCell ref="O414:P414"/>
    <mergeCell ref="AB253:AB254"/>
    <mergeCell ref="T267:AA267"/>
    <mergeCell ref="T268:V268"/>
    <mergeCell ref="W268:X268"/>
    <mergeCell ref="Y268:Z268"/>
    <mergeCell ref="T269:V269"/>
    <mergeCell ref="W269:X269"/>
    <mergeCell ref="Y269:Z269"/>
    <mergeCell ref="T271:V271"/>
    <mergeCell ref="W271:X271"/>
    <mergeCell ref="Y271:Z271"/>
    <mergeCell ref="Z253:Z254"/>
    <mergeCell ref="AA253:AA254"/>
    <mergeCell ref="T253:T254"/>
    <mergeCell ref="U253:U254"/>
    <mergeCell ref="V253:V254"/>
    <mergeCell ref="X253:X254"/>
    <mergeCell ref="M392:N392"/>
    <mergeCell ref="AB212:AB213"/>
    <mergeCell ref="T226:AA226"/>
    <mergeCell ref="T227:V227"/>
    <mergeCell ref="W227:X227"/>
    <mergeCell ref="Y227:Z227"/>
    <mergeCell ref="T228:V228"/>
    <mergeCell ref="W228:X228"/>
    <mergeCell ref="Y228:Z228"/>
    <mergeCell ref="T230:V230"/>
    <mergeCell ref="W230:X230"/>
    <mergeCell ref="Y230:Z230"/>
    <mergeCell ref="T212:T213"/>
    <mergeCell ref="U212:U213"/>
    <mergeCell ref="V212:V213"/>
    <mergeCell ref="X212:X213"/>
    <mergeCell ref="Z212:Z213"/>
    <mergeCell ref="AA212:AA213"/>
    <mergeCell ref="O392:P392"/>
    <mergeCell ref="J371:L371"/>
    <mergeCell ref="M371:N371"/>
    <mergeCell ref="O371:P371"/>
    <mergeCell ref="J373:L373"/>
    <mergeCell ref="M373:N373"/>
    <mergeCell ref="O373:P373"/>
    <mergeCell ref="J376:J377"/>
    <mergeCell ref="K376:K377"/>
    <mergeCell ref="L376:L377"/>
    <mergeCell ref="N376:N377"/>
    <mergeCell ref="P376:P377"/>
    <mergeCell ref="J355:J356"/>
    <mergeCell ref="K355:K356"/>
    <mergeCell ref="E13:E14"/>
    <mergeCell ref="G13:G14"/>
    <mergeCell ref="A71:C71"/>
    <mergeCell ref="D71:E71"/>
    <mergeCell ref="F71:G71"/>
    <mergeCell ref="A73:A74"/>
    <mergeCell ref="B73:B74"/>
    <mergeCell ref="C73:C74"/>
    <mergeCell ref="E73:E74"/>
    <mergeCell ref="G73:G74"/>
    <mergeCell ref="I53:I54"/>
    <mergeCell ref="A67:H67"/>
    <mergeCell ref="A68:C68"/>
    <mergeCell ref="D68:E68"/>
    <mergeCell ref="F68:G68"/>
    <mergeCell ref="A69:C69"/>
    <mergeCell ref="D69:E69"/>
    <mergeCell ref="F69:G69"/>
    <mergeCell ref="A53:A54"/>
    <mergeCell ref="B53:B54"/>
    <mergeCell ref="C53:C54"/>
    <mergeCell ref="E53:E54"/>
    <mergeCell ref="G53:G54"/>
    <mergeCell ref="H53:H54"/>
    <mergeCell ref="A89:C89"/>
    <mergeCell ref="D89:E89"/>
    <mergeCell ref="A91:C91"/>
    <mergeCell ref="D91:E91"/>
    <mergeCell ref="H73:H74"/>
    <mergeCell ref="I73:I74"/>
    <mergeCell ref="A87:H87"/>
    <mergeCell ref="A88:C88"/>
    <mergeCell ref="D88:E88"/>
    <mergeCell ref="F88:G88"/>
    <mergeCell ref="I93:I94"/>
    <mergeCell ref="A107:H107"/>
    <mergeCell ref="A108:C108"/>
    <mergeCell ref="D108:E108"/>
    <mergeCell ref="F108:G108"/>
    <mergeCell ref="A109:C109"/>
    <mergeCell ref="D109:E109"/>
    <mergeCell ref="F109:G109"/>
    <mergeCell ref="A93:A94"/>
    <mergeCell ref="B93:B94"/>
    <mergeCell ref="C93:C94"/>
    <mergeCell ref="E93:E94"/>
    <mergeCell ref="G93:G94"/>
    <mergeCell ref="H93:H94"/>
    <mergeCell ref="H113:H114"/>
    <mergeCell ref="I113:I114"/>
    <mergeCell ref="A127:H127"/>
    <mergeCell ref="A128:C128"/>
    <mergeCell ref="D128:E128"/>
    <mergeCell ref="F128:G128"/>
    <mergeCell ref="A111:C111"/>
    <mergeCell ref="D111:E111"/>
    <mergeCell ref="F111:G111"/>
    <mergeCell ref="A113:A114"/>
    <mergeCell ref="B113:B114"/>
    <mergeCell ref="C113:C114"/>
    <mergeCell ref="E113:E114"/>
    <mergeCell ref="G113:G114"/>
    <mergeCell ref="I133:I134"/>
    <mergeCell ref="A147:H147"/>
    <mergeCell ref="A148:C148"/>
    <mergeCell ref="D148:E148"/>
    <mergeCell ref="F148:G148"/>
    <mergeCell ref="A149:C149"/>
    <mergeCell ref="D149:E149"/>
    <mergeCell ref="F149:G149"/>
    <mergeCell ref="A133:A134"/>
    <mergeCell ref="B133:B134"/>
    <mergeCell ref="C133:C134"/>
    <mergeCell ref="E133:E134"/>
    <mergeCell ref="G133:G134"/>
    <mergeCell ref="H133:H134"/>
    <mergeCell ref="H153:H154"/>
    <mergeCell ref="I153:I154"/>
    <mergeCell ref="A167:H167"/>
    <mergeCell ref="A168:C168"/>
    <mergeCell ref="D168:E168"/>
    <mergeCell ref="F168:G168"/>
    <mergeCell ref="A151:C151"/>
    <mergeCell ref="D151:E151"/>
    <mergeCell ref="F151:G151"/>
    <mergeCell ref="A153:A154"/>
    <mergeCell ref="B153:B154"/>
    <mergeCell ref="C153:C154"/>
    <mergeCell ref="E153:E154"/>
    <mergeCell ref="G153:G154"/>
    <mergeCell ref="I174:I175"/>
    <mergeCell ref="A188:H188"/>
    <mergeCell ref="A189:C189"/>
    <mergeCell ref="D189:E189"/>
    <mergeCell ref="F189:G189"/>
    <mergeCell ref="A190:C190"/>
    <mergeCell ref="D190:E190"/>
    <mergeCell ref="F190:G190"/>
    <mergeCell ref="A174:A175"/>
    <mergeCell ref="B174:B175"/>
    <mergeCell ref="C174:C175"/>
    <mergeCell ref="E174:E175"/>
    <mergeCell ref="G174:G175"/>
    <mergeCell ref="H174:H175"/>
    <mergeCell ref="I192:I193"/>
    <mergeCell ref="A206:H206"/>
    <mergeCell ref="A207:C207"/>
    <mergeCell ref="D207:E207"/>
    <mergeCell ref="F207:G207"/>
    <mergeCell ref="A208:C208"/>
    <mergeCell ref="D208:E208"/>
    <mergeCell ref="F208:G208"/>
    <mergeCell ref="A192:A193"/>
    <mergeCell ref="B192:B193"/>
    <mergeCell ref="C192:C193"/>
    <mergeCell ref="E192:E193"/>
    <mergeCell ref="G192:G193"/>
    <mergeCell ref="H192:H193"/>
    <mergeCell ref="F129:G129"/>
    <mergeCell ref="F91:G91"/>
    <mergeCell ref="F89:G89"/>
    <mergeCell ref="F51:G51"/>
    <mergeCell ref="F49:G49"/>
    <mergeCell ref="A212:A213"/>
    <mergeCell ref="B212:B213"/>
    <mergeCell ref="C212:C213"/>
    <mergeCell ref="E212:E213"/>
    <mergeCell ref="G212:G213"/>
    <mergeCell ref="A210:C210"/>
    <mergeCell ref="D210:E210"/>
    <mergeCell ref="F210:G210"/>
    <mergeCell ref="F171:G171"/>
    <mergeCell ref="F169:G169"/>
    <mergeCell ref="F131:G131"/>
    <mergeCell ref="A169:C169"/>
    <mergeCell ref="D169:E169"/>
    <mergeCell ref="A171:C171"/>
    <mergeCell ref="D171:E171"/>
    <mergeCell ref="A129:C129"/>
    <mergeCell ref="D129:E129"/>
    <mergeCell ref="A131:C131"/>
    <mergeCell ref="D131:E131"/>
    <mergeCell ref="A228:C228"/>
    <mergeCell ref="D228:E228"/>
    <mergeCell ref="F228:G228"/>
    <mergeCell ref="A230:C230"/>
    <mergeCell ref="D230:E230"/>
    <mergeCell ref="F230:G230"/>
    <mergeCell ref="H212:H213"/>
    <mergeCell ref="I212:I213"/>
    <mergeCell ref="A226:H226"/>
    <mergeCell ref="A227:C227"/>
    <mergeCell ref="D227:E227"/>
    <mergeCell ref="F227:G227"/>
    <mergeCell ref="A251:C251"/>
    <mergeCell ref="D251:E251"/>
    <mergeCell ref="F251:G251"/>
    <mergeCell ref="A253:A254"/>
    <mergeCell ref="B253:B254"/>
    <mergeCell ref="C253:C254"/>
    <mergeCell ref="E253:E254"/>
    <mergeCell ref="G253:G254"/>
    <mergeCell ref="I233:I234"/>
    <mergeCell ref="A247:H247"/>
    <mergeCell ref="A248:C248"/>
    <mergeCell ref="D248:E248"/>
    <mergeCell ref="F248:G248"/>
    <mergeCell ref="A249:C249"/>
    <mergeCell ref="D249:E249"/>
    <mergeCell ref="F249:G249"/>
    <mergeCell ref="A233:A234"/>
    <mergeCell ref="B233:B234"/>
    <mergeCell ref="C233:C234"/>
    <mergeCell ref="E233:E234"/>
    <mergeCell ref="G233:G234"/>
    <mergeCell ref="H233:H234"/>
    <mergeCell ref="A269:C269"/>
    <mergeCell ref="D269:E269"/>
    <mergeCell ref="F269:G269"/>
    <mergeCell ref="A271:C271"/>
    <mergeCell ref="D271:E271"/>
    <mergeCell ref="F271:G271"/>
    <mergeCell ref="H253:H254"/>
    <mergeCell ref="I253:I254"/>
    <mergeCell ref="A267:H267"/>
    <mergeCell ref="A268:C268"/>
    <mergeCell ref="D268:E268"/>
    <mergeCell ref="F268:G268"/>
    <mergeCell ref="A291:C291"/>
    <mergeCell ref="D291:E291"/>
    <mergeCell ref="F291:G291"/>
    <mergeCell ref="A294:A295"/>
    <mergeCell ref="B294:B295"/>
    <mergeCell ref="C294:C295"/>
    <mergeCell ref="E294:E295"/>
    <mergeCell ref="G294:G295"/>
    <mergeCell ref="I273:I274"/>
    <mergeCell ref="A287:H287"/>
    <mergeCell ref="A288:C288"/>
    <mergeCell ref="D288:E288"/>
    <mergeCell ref="F288:G288"/>
    <mergeCell ref="A289:C289"/>
    <mergeCell ref="D289:E289"/>
    <mergeCell ref="F289:G289"/>
    <mergeCell ref="A273:A274"/>
    <mergeCell ref="B273:B274"/>
    <mergeCell ref="C273:C274"/>
    <mergeCell ref="E273:E274"/>
    <mergeCell ref="G273:G274"/>
    <mergeCell ref="H273:H274"/>
    <mergeCell ref="A310:C310"/>
    <mergeCell ref="D310:E310"/>
    <mergeCell ref="F310:G310"/>
    <mergeCell ref="A312:C312"/>
    <mergeCell ref="D312:E312"/>
    <mergeCell ref="F312:G312"/>
    <mergeCell ref="H294:H295"/>
    <mergeCell ref="I294:I295"/>
    <mergeCell ref="A308:H308"/>
    <mergeCell ref="A309:C309"/>
    <mergeCell ref="D309:E309"/>
    <mergeCell ref="F309:G309"/>
    <mergeCell ref="A333:C333"/>
    <mergeCell ref="D333:E333"/>
    <mergeCell ref="F333:G333"/>
    <mergeCell ref="A335:A336"/>
    <mergeCell ref="B335:B336"/>
    <mergeCell ref="C335:C336"/>
    <mergeCell ref="E335:E336"/>
    <mergeCell ref="G335:G336"/>
    <mergeCell ref="I315:I316"/>
    <mergeCell ref="A329:H329"/>
    <mergeCell ref="A330:C330"/>
    <mergeCell ref="D330:E330"/>
    <mergeCell ref="F330:G330"/>
    <mergeCell ref="A331:C331"/>
    <mergeCell ref="D331:E331"/>
    <mergeCell ref="F331:G331"/>
    <mergeCell ref="A315:A316"/>
    <mergeCell ref="B315:B316"/>
    <mergeCell ref="C315:C316"/>
    <mergeCell ref="E315:E316"/>
    <mergeCell ref="G315:G316"/>
    <mergeCell ref="H315:H316"/>
    <mergeCell ref="A351:C351"/>
    <mergeCell ref="D351:E351"/>
    <mergeCell ref="F351:G351"/>
    <mergeCell ref="A353:C353"/>
    <mergeCell ref="D353:E353"/>
    <mergeCell ref="F353:G353"/>
    <mergeCell ref="H335:H336"/>
    <mergeCell ref="I335:I336"/>
    <mergeCell ref="A349:H349"/>
    <mergeCell ref="A350:C350"/>
    <mergeCell ref="D350:E350"/>
    <mergeCell ref="F350:G350"/>
    <mergeCell ref="A373:C373"/>
    <mergeCell ref="D373:E373"/>
    <mergeCell ref="F373:G373"/>
    <mergeCell ref="A376:A377"/>
    <mergeCell ref="B376:B377"/>
    <mergeCell ref="C376:C377"/>
    <mergeCell ref="E376:E377"/>
    <mergeCell ref="G376:G377"/>
    <mergeCell ref="I355:I356"/>
    <mergeCell ref="A369:H369"/>
    <mergeCell ref="A370:C370"/>
    <mergeCell ref="D370:E370"/>
    <mergeCell ref="F370:G370"/>
    <mergeCell ref="A371:C371"/>
    <mergeCell ref="D371:E371"/>
    <mergeCell ref="F371:G371"/>
    <mergeCell ref="A355:A356"/>
    <mergeCell ref="B355:B356"/>
    <mergeCell ref="C355:C356"/>
    <mergeCell ref="E355:E356"/>
    <mergeCell ref="G355:G356"/>
    <mergeCell ref="H355:H356"/>
    <mergeCell ref="A392:C392"/>
    <mergeCell ref="D392:E392"/>
    <mergeCell ref="F392:G392"/>
    <mergeCell ref="A394:C394"/>
    <mergeCell ref="D394:E394"/>
    <mergeCell ref="F394:G394"/>
    <mergeCell ref="H376:H377"/>
    <mergeCell ref="I376:I377"/>
    <mergeCell ref="A390:H390"/>
    <mergeCell ref="A391:C391"/>
    <mergeCell ref="D391:E391"/>
    <mergeCell ref="F391:G391"/>
    <mergeCell ref="I396:I397"/>
    <mergeCell ref="A410:H410"/>
    <mergeCell ref="A411:C411"/>
    <mergeCell ref="D411:E411"/>
    <mergeCell ref="F411:G411"/>
    <mergeCell ref="A412:C412"/>
    <mergeCell ref="D412:E412"/>
    <mergeCell ref="F412:G412"/>
    <mergeCell ref="A396:A397"/>
    <mergeCell ref="B396:B397"/>
    <mergeCell ref="C396:C397"/>
    <mergeCell ref="E396:E397"/>
    <mergeCell ref="G396:G397"/>
    <mergeCell ref="H396:H397"/>
    <mergeCell ref="F434:G434"/>
    <mergeCell ref="H416:H417"/>
    <mergeCell ref="I416:I417"/>
    <mergeCell ref="A430:H430"/>
    <mergeCell ref="A431:C431"/>
    <mergeCell ref="D431:E431"/>
    <mergeCell ref="F431:G431"/>
    <mergeCell ref="A414:C414"/>
    <mergeCell ref="D414:E414"/>
    <mergeCell ref="F414:G414"/>
    <mergeCell ref="A416:A417"/>
    <mergeCell ref="B416:B417"/>
    <mergeCell ref="C416:C417"/>
    <mergeCell ref="E416:E417"/>
    <mergeCell ref="G416:G417"/>
    <mergeCell ref="S33:S34"/>
    <mergeCell ref="S13:S14"/>
    <mergeCell ref="A454:C454"/>
    <mergeCell ref="D454:E454"/>
    <mergeCell ref="F454:G454"/>
    <mergeCell ref="I436:I437"/>
    <mergeCell ref="A450:H450"/>
    <mergeCell ref="A451:C451"/>
    <mergeCell ref="D451:E451"/>
    <mergeCell ref="F451:G451"/>
    <mergeCell ref="A452:C452"/>
    <mergeCell ref="D452:E452"/>
    <mergeCell ref="F452:G452"/>
    <mergeCell ref="A436:A437"/>
    <mergeCell ref="B436:B437"/>
    <mergeCell ref="C436:C437"/>
    <mergeCell ref="E436:E437"/>
    <mergeCell ref="G436:G437"/>
    <mergeCell ref="H436:H437"/>
    <mergeCell ref="A432:C432"/>
    <mergeCell ref="D432:E432"/>
    <mergeCell ref="F432:G432"/>
    <mergeCell ref="A434:C434"/>
    <mergeCell ref="D434:E434"/>
    <mergeCell ref="A1:H1"/>
    <mergeCell ref="A3:B5"/>
    <mergeCell ref="C3:H3"/>
    <mergeCell ref="C4:H4"/>
    <mergeCell ref="C5:H5"/>
    <mergeCell ref="A49:C49"/>
    <mergeCell ref="D49:E49"/>
    <mergeCell ref="H33:H34"/>
    <mergeCell ref="I33:I34"/>
    <mergeCell ref="A47:H47"/>
    <mergeCell ref="A48:C48"/>
    <mergeCell ref="D48:E48"/>
    <mergeCell ref="F48:G48"/>
    <mergeCell ref="A31:C31"/>
    <mergeCell ref="D31:E31"/>
    <mergeCell ref="F31:G31"/>
    <mergeCell ref="A33:A34"/>
    <mergeCell ref="B33:B34"/>
    <mergeCell ref="C33:C34"/>
    <mergeCell ref="H13:H14"/>
    <mergeCell ref="F28:G28"/>
    <mergeCell ref="A29:C29"/>
    <mergeCell ref="D29:E29"/>
    <mergeCell ref="F29:G29"/>
    <mergeCell ref="K51:M51"/>
    <mergeCell ref="N51:O51"/>
    <mergeCell ref="P51:Q51"/>
    <mergeCell ref="A7:B10"/>
    <mergeCell ref="C7:H7"/>
    <mergeCell ref="C8:H8"/>
    <mergeCell ref="C9:H9"/>
    <mergeCell ref="C10:H10"/>
    <mergeCell ref="K33:K34"/>
    <mergeCell ref="L33:L34"/>
    <mergeCell ref="M33:M34"/>
    <mergeCell ref="K47:R47"/>
    <mergeCell ref="R33:R34"/>
    <mergeCell ref="A51:C51"/>
    <mergeCell ref="D51:E51"/>
    <mergeCell ref="E33:E34"/>
    <mergeCell ref="G33:G34"/>
    <mergeCell ref="I13:I14"/>
    <mergeCell ref="A27:H27"/>
    <mergeCell ref="A28:C28"/>
    <mergeCell ref="D28:E28"/>
    <mergeCell ref="A13:A14"/>
    <mergeCell ref="B13:B14"/>
    <mergeCell ref="C13:C14"/>
    <mergeCell ref="K54:K55"/>
    <mergeCell ref="L54:L55"/>
    <mergeCell ref="M54:M55"/>
    <mergeCell ref="O54:O55"/>
    <mergeCell ref="Q54:Q55"/>
    <mergeCell ref="R54:R55"/>
    <mergeCell ref="S54:S55"/>
    <mergeCell ref="K68:R68"/>
    <mergeCell ref="K69:M69"/>
    <mergeCell ref="N69:O69"/>
    <mergeCell ref="P69:Q69"/>
    <mergeCell ref="K70:M70"/>
    <mergeCell ref="N70:O70"/>
    <mergeCell ref="P70:Q70"/>
    <mergeCell ref="K72:M72"/>
    <mergeCell ref="N72:O72"/>
    <mergeCell ref="P72:Q72"/>
    <mergeCell ref="J212:J213"/>
    <mergeCell ref="K212:K213"/>
    <mergeCell ref="L212:L213"/>
    <mergeCell ref="N212:N213"/>
    <mergeCell ref="P212:P213"/>
    <mergeCell ref="Q212:Q213"/>
    <mergeCell ref="J113:J114"/>
    <mergeCell ref="K113:K114"/>
    <mergeCell ref="L113:L114"/>
    <mergeCell ref="N113:N114"/>
    <mergeCell ref="P113:P114"/>
    <mergeCell ref="Q113:Q114"/>
    <mergeCell ref="R212:R213"/>
    <mergeCell ref="J226:Q226"/>
    <mergeCell ref="J227:L227"/>
    <mergeCell ref="M227:N227"/>
    <mergeCell ref="O227:P227"/>
    <mergeCell ref="J228:L228"/>
    <mergeCell ref="M228:N228"/>
    <mergeCell ref="O228:P228"/>
    <mergeCell ref="J230:L230"/>
    <mergeCell ref="M230:N230"/>
    <mergeCell ref="O230:P230"/>
    <mergeCell ref="R113:R114"/>
    <mergeCell ref="J127:Q127"/>
    <mergeCell ref="J128:L128"/>
    <mergeCell ref="M128:N128"/>
    <mergeCell ref="O128:P128"/>
    <mergeCell ref="J129:L129"/>
    <mergeCell ref="M129:N129"/>
    <mergeCell ref="O129:P129"/>
    <mergeCell ref="J131:L131"/>
    <mergeCell ref="M131:N131"/>
    <mergeCell ref="O131:P131"/>
    <mergeCell ref="J233:J234"/>
    <mergeCell ref="K233:K234"/>
    <mergeCell ref="L233:L234"/>
    <mergeCell ref="N233:N234"/>
    <mergeCell ref="P233:P234"/>
    <mergeCell ref="Q233:Q234"/>
    <mergeCell ref="R233:R234"/>
    <mergeCell ref="J247:Q247"/>
    <mergeCell ref="J248:L248"/>
    <mergeCell ref="M248:N248"/>
    <mergeCell ref="O248:P248"/>
    <mergeCell ref="J249:L249"/>
    <mergeCell ref="M249:N249"/>
    <mergeCell ref="O249:P249"/>
    <mergeCell ref="J251:L251"/>
    <mergeCell ref="M251:N251"/>
    <mergeCell ref="O251:P251"/>
    <mergeCell ref="J253:J254"/>
    <mergeCell ref="K253:K254"/>
    <mergeCell ref="L253:L254"/>
    <mergeCell ref="N253:N254"/>
    <mergeCell ref="P253:P254"/>
    <mergeCell ref="Q253:Q254"/>
    <mergeCell ref="R253:R254"/>
    <mergeCell ref="J267:Q267"/>
    <mergeCell ref="J268:L268"/>
    <mergeCell ref="M268:N268"/>
    <mergeCell ref="O268:P268"/>
    <mergeCell ref="J269:L269"/>
    <mergeCell ref="M269:N269"/>
    <mergeCell ref="O269:P269"/>
    <mergeCell ref="P31:Q31"/>
    <mergeCell ref="N31:O31"/>
    <mergeCell ref="K31:M31"/>
    <mergeCell ref="P29:Q29"/>
    <mergeCell ref="N29:O29"/>
    <mergeCell ref="Q33:Q34"/>
    <mergeCell ref="O33:O34"/>
    <mergeCell ref="P49:Q49"/>
    <mergeCell ref="N49:O49"/>
    <mergeCell ref="K49:M49"/>
    <mergeCell ref="K48:M48"/>
    <mergeCell ref="N48:O48"/>
    <mergeCell ref="P48:Q48"/>
    <mergeCell ref="K29:M29"/>
    <mergeCell ref="M13:M14"/>
    <mergeCell ref="L13:L14"/>
    <mergeCell ref="K13:K14"/>
    <mergeCell ref="P28:Q28"/>
    <mergeCell ref="N28:O28"/>
    <mergeCell ref="K28:M28"/>
    <mergeCell ref="K27:R27"/>
    <mergeCell ref="R13:R14"/>
    <mergeCell ref="Q13:Q14"/>
    <mergeCell ref="O13:O14"/>
    <mergeCell ref="AA416:AA417"/>
    <mergeCell ref="AB416:AB417"/>
    <mergeCell ref="T430:AA430"/>
    <mergeCell ref="T431:V431"/>
    <mergeCell ref="W431:X431"/>
    <mergeCell ref="Y431:Z431"/>
    <mergeCell ref="J271:L271"/>
    <mergeCell ref="M271:N271"/>
    <mergeCell ref="O271:P271"/>
    <mergeCell ref="L355:L356"/>
    <mergeCell ref="N355:N356"/>
    <mergeCell ref="P355:P356"/>
    <mergeCell ref="Q355:Q356"/>
    <mergeCell ref="R355:R356"/>
    <mergeCell ref="J369:Q369"/>
    <mergeCell ref="J370:L370"/>
    <mergeCell ref="M370:N370"/>
    <mergeCell ref="O370:P370"/>
    <mergeCell ref="Q416:Q417"/>
    <mergeCell ref="R416:R417"/>
    <mergeCell ref="J430:Q430"/>
    <mergeCell ref="J431:L431"/>
    <mergeCell ref="M431:N431"/>
    <mergeCell ref="O431:P431"/>
    <mergeCell ref="T432:V432"/>
    <mergeCell ref="W432:X432"/>
    <mergeCell ref="Y432:Z432"/>
    <mergeCell ref="T434:V434"/>
    <mergeCell ref="W434:X434"/>
    <mergeCell ref="Y434:Z434"/>
    <mergeCell ref="T416:T417"/>
    <mergeCell ref="U416:U417"/>
    <mergeCell ref="V416:V417"/>
    <mergeCell ref="X416:X417"/>
    <mergeCell ref="Z416:Z417"/>
    <mergeCell ref="J351:L351"/>
    <mergeCell ref="M351:N351"/>
    <mergeCell ref="O351:P351"/>
    <mergeCell ref="J353:L353"/>
    <mergeCell ref="M353:N353"/>
    <mergeCell ref="O353:P353"/>
    <mergeCell ref="T335:T336"/>
    <mergeCell ref="U335:U336"/>
    <mergeCell ref="V335:V336"/>
    <mergeCell ref="T353:V353"/>
    <mergeCell ref="J335:J336"/>
    <mergeCell ref="K335:K336"/>
    <mergeCell ref="L335:L336"/>
    <mergeCell ref="N335:N336"/>
    <mergeCell ref="P335:P336"/>
    <mergeCell ref="Q335:Q336"/>
    <mergeCell ref="R335:R336"/>
    <mergeCell ref="J349:Q349"/>
    <mergeCell ref="J350:L350"/>
    <mergeCell ref="M350:N350"/>
    <mergeCell ref="O350:P350"/>
    <mergeCell ref="AA335:AA336"/>
    <mergeCell ref="AB335:AB336"/>
    <mergeCell ref="T349:AA349"/>
    <mergeCell ref="T350:V350"/>
    <mergeCell ref="W350:X350"/>
    <mergeCell ref="Y350:Z350"/>
    <mergeCell ref="T351:V351"/>
    <mergeCell ref="W351:X351"/>
    <mergeCell ref="Y351:Z351"/>
  </mergeCells>
  <pageMargins left="0.7" right="0.7" top="0.75" bottom="0.75" header="0.3" footer="0.3"/>
  <pageSetup paperSize="9" scale="27" orientation="landscape" horizontalDpi="300" verticalDpi="300" r:id="rId1"/>
  <rowBreaks count="5" manualBreakCount="5">
    <brk id="112" max="16383" man="1"/>
    <brk id="211" max="16383" man="1"/>
    <brk id="272" max="16383" man="1"/>
    <brk id="334" max="16383" man="1"/>
    <brk id="395" max="16383" man="1"/>
  </rowBreaks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D6B2-03D0-4A5A-9E6A-349A854F7ED0}">
  <dimension ref="A3:AE38"/>
  <sheetViews>
    <sheetView view="pageBreakPreview" zoomScale="50" zoomScaleNormal="70" zoomScaleSheetLayoutView="50" workbookViewId="0">
      <selection activeCell="K15" sqref="K15"/>
    </sheetView>
  </sheetViews>
  <sheetFormatPr defaultColWidth="5.44140625" defaultRowHeight="21" x14ac:dyDescent="0.4"/>
  <cols>
    <col min="1" max="1" width="4.33203125" style="3" bestFit="1" customWidth="1"/>
    <col min="2" max="2" width="51.77734375" style="2" bestFit="1" customWidth="1"/>
    <col min="3" max="3" width="11.88671875" style="2" bestFit="1" customWidth="1"/>
    <col min="4" max="5" width="13.77734375" style="2" bestFit="1" customWidth="1"/>
    <col min="6" max="6" width="17.6640625" style="2" bestFit="1" customWidth="1"/>
    <col min="7" max="7" width="27.5546875" style="2" bestFit="1" customWidth="1"/>
    <col min="8" max="8" width="17.109375" style="2" bestFit="1" customWidth="1"/>
    <col min="9" max="9" width="14.44140625" style="1" bestFit="1" customWidth="1"/>
    <col min="10" max="10" width="13.77734375" style="1" bestFit="1" customWidth="1"/>
    <col min="11" max="11" width="13.44140625" style="1" bestFit="1" customWidth="1"/>
    <col min="12" max="12" width="11.5546875" style="1" bestFit="1" customWidth="1"/>
    <col min="13" max="13" width="19.33203125" style="1" bestFit="1" customWidth="1"/>
    <col min="14" max="14" width="4.33203125" style="1" bestFit="1" customWidth="1"/>
    <col min="15" max="15" width="51.77734375" style="1" bestFit="1" customWidth="1"/>
    <col min="16" max="16" width="11.88671875" style="1" bestFit="1" customWidth="1"/>
    <col min="17" max="18" width="13.77734375" style="1" bestFit="1" customWidth="1"/>
    <col min="19" max="19" width="17.6640625" style="1" bestFit="1" customWidth="1"/>
    <col min="20" max="20" width="27.5546875" style="1" bestFit="1" customWidth="1"/>
    <col min="21" max="21" width="17.109375" style="1" bestFit="1" customWidth="1"/>
    <col min="22" max="22" width="14.44140625" style="1" bestFit="1" customWidth="1"/>
    <col min="23" max="23" width="13.77734375" style="1" bestFit="1" customWidth="1"/>
    <col min="24" max="24" width="13.44140625" style="1" bestFit="1" customWidth="1"/>
    <col min="25" max="25" width="11.5546875" style="1" bestFit="1" customWidth="1"/>
    <col min="26" max="26" width="19.33203125" style="1" bestFit="1" customWidth="1"/>
    <col min="27" max="27" width="4.33203125" style="1" bestFit="1" customWidth="1"/>
    <col min="28" max="28" width="51.77734375" style="1" bestFit="1" customWidth="1"/>
    <col min="29" max="29" width="11.88671875" style="1" bestFit="1" customWidth="1"/>
    <col min="30" max="30" width="17.109375" style="1" bestFit="1" customWidth="1"/>
    <col min="31" max="31" width="13.77734375" style="1" bestFit="1" customWidth="1"/>
    <col min="32" max="16384" width="5.44140625" style="1"/>
  </cols>
  <sheetData>
    <row r="3" spans="1:31" ht="21.6" thickBot="1" x14ac:dyDescent="0.45"/>
    <row r="4" spans="1:31" ht="34.799999999999997" thickBot="1" x14ac:dyDescent="0.45">
      <c r="A4" s="171" t="s">
        <v>131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3"/>
      <c r="N4" s="156" t="s">
        <v>132</v>
      </c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8"/>
      <c r="AA4" s="244" t="s">
        <v>180</v>
      </c>
      <c r="AB4" s="245"/>
      <c r="AC4" s="245"/>
      <c r="AD4" s="245"/>
      <c r="AE4" s="245"/>
    </row>
    <row r="5" spans="1:31" ht="34.799999999999997" x14ac:dyDescent="0.4">
      <c r="A5" s="159" t="s">
        <v>86</v>
      </c>
      <c r="B5" s="159"/>
      <c r="C5" s="161" t="s">
        <v>24</v>
      </c>
      <c r="D5" s="95" t="s">
        <v>129</v>
      </c>
      <c r="E5" s="95" t="s">
        <v>128</v>
      </c>
      <c r="F5" s="163" t="s">
        <v>130</v>
      </c>
      <c r="G5" s="167" t="s">
        <v>170</v>
      </c>
      <c r="H5" s="165" t="s">
        <v>91</v>
      </c>
      <c r="I5" s="167" t="s">
        <v>87</v>
      </c>
      <c r="J5" s="169" t="s">
        <v>135</v>
      </c>
      <c r="K5" s="159" t="s">
        <v>122</v>
      </c>
      <c r="L5" s="159" t="s">
        <v>59</v>
      </c>
      <c r="M5" s="154" t="s">
        <v>134</v>
      </c>
      <c r="N5" s="159" t="s">
        <v>86</v>
      </c>
      <c r="O5" s="159"/>
      <c r="P5" s="161" t="s">
        <v>24</v>
      </c>
      <c r="Q5" s="95" t="s">
        <v>129</v>
      </c>
      <c r="R5" s="95" t="s">
        <v>128</v>
      </c>
      <c r="S5" s="163" t="s">
        <v>130</v>
      </c>
      <c r="T5" s="167" t="s">
        <v>170</v>
      </c>
      <c r="U5" s="165" t="s">
        <v>91</v>
      </c>
      <c r="V5" s="167" t="s">
        <v>87</v>
      </c>
      <c r="W5" s="169" t="s">
        <v>135</v>
      </c>
      <c r="X5" s="159" t="s">
        <v>122</v>
      </c>
      <c r="Y5" s="159" t="s">
        <v>59</v>
      </c>
      <c r="Z5" s="154" t="s">
        <v>134</v>
      </c>
      <c r="AA5" s="159" t="s">
        <v>86</v>
      </c>
      <c r="AB5" s="159"/>
      <c r="AC5" s="161" t="s">
        <v>24</v>
      </c>
      <c r="AD5" s="165" t="s">
        <v>91</v>
      </c>
      <c r="AE5" s="169" t="s">
        <v>135</v>
      </c>
    </row>
    <row r="6" spans="1:31" ht="34.799999999999997" x14ac:dyDescent="0.4">
      <c r="A6" s="160"/>
      <c r="B6" s="160"/>
      <c r="C6" s="162"/>
      <c r="D6" s="85">
        <v>0.32</v>
      </c>
      <c r="E6" s="85">
        <v>7.0000000000000007E-2</v>
      </c>
      <c r="F6" s="164"/>
      <c r="G6" s="168"/>
      <c r="H6" s="166"/>
      <c r="I6" s="168"/>
      <c r="J6" s="170"/>
      <c r="K6" s="160"/>
      <c r="L6" s="160"/>
      <c r="M6" s="155"/>
      <c r="N6" s="160"/>
      <c r="O6" s="160"/>
      <c r="P6" s="162"/>
      <c r="Q6" s="85">
        <v>0.3</v>
      </c>
      <c r="R6" s="85">
        <v>7.0000000000000007E-2</v>
      </c>
      <c r="S6" s="164"/>
      <c r="T6" s="168"/>
      <c r="U6" s="166"/>
      <c r="V6" s="168"/>
      <c r="W6" s="170"/>
      <c r="X6" s="160"/>
      <c r="Y6" s="160"/>
      <c r="Z6" s="155"/>
      <c r="AA6" s="160"/>
      <c r="AB6" s="160"/>
      <c r="AC6" s="162"/>
      <c r="AD6" s="166"/>
      <c r="AE6" s="170"/>
    </row>
    <row r="7" spans="1:31" ht="34.799999999999997" x14ac:dyDescent="0.4">
      <c r="A7" s="88">
        <v>1</v>
      </c>
      <c r="B7" s="89" t="s">
        <v>172</v>
      </c>
      <c r="C7" s="90">
        <v>45</v>
      </c>
      <c r="D7" s="86">
        <f>C7*D6</f>
        <v>14.4</v>
      </c>
      <c r="E7" s="86">
        <f>D7*E6</f>
        <v>1.0080000000000002</v>
      </c>
      <c r="F7" s="91">
        <f>D7+E7</f>
        <v>15.408000000000001</v>
      </c>
      <c r="G7" s="90">
        <f>C7-F7</f>
        <v>29.591999999999999</v>
      </c>
      <c r="H7" s="92">
        <v>12.605666666666664</v>
      </c>
      <c r="I7" s="90">
        <f>F7+H7+M7</f>
        <v>29.013666666666666</v>
      </c>
      <c r="J7" s="93">
        <f>C7-I7</f>
        <v>15.986333333333334</v>
      </c>
      <c r="K7" s="87"/>
      <c r="L7" s="87">
        <v>30</v>
      </c>
      <c r="M7" s="87">
        <v>1</v>
      </c>
      <c r="N7" s="88">
        <v>1</v>
      </c>
      <c r="O7" s="89" t="s">
        <v>172</v>
      </c>
      <c r="P7" s="90">
        <v>45</v>
      </c>
      <c r="Q7" s="86">
        <f>P7*Q6</f>
        <v>13.5</v>
      </c>
      <c r="R7" s="86">
        <f>Q7*R6</f>
        <v>0.94500000000000006</v>
      </c>
      <c r="S7" s="91">
        <f>Q7+R7</f>
        <v>14.445</v>
      </c>
      <c r="T7" s="90">
        <f>P7-S7</f>
        <v>30.555</v>
      </c>
      <c r="U7" s="92">
        <v>12.605666666666664</v>
      </c>
      <c r="V7" s="90">
        <f>S7+U7+Z7</f>
        <v>28.050666666666665</v>
      </c>
      <c r="W7" s="93">
        <f>P7-V7</f>
        <v>16.949333333333335</v>
      </c>
      <c r="X7" s="87"/>
      <c r="Y7" s="87">
        <v>30</v>
      </c>
      <c r="Z7" s="87">
        <v>1</v>
      </c>
      <c r="AA7" s="88">
        <v>1</v>
      </c>
      <c r="AB7" s="89" t="s">
        <v>172</v>
      </c>
      <c r="AC7" s="90">
        <v>45</v>
      </c>
      <c r="AD7" s="92">
        <v>12.605666666666664</v>
      </c>
      <c r="AE7" s="93">
        <f>AC7-AD7</f>
        <v>32.394333333333336</v>
      </c>
    </row>
    <row r="8" spans="1:31" ht="34.799999999999997" x14ac:dyDescent="0.4">
      <c r="A8" s="88">
        <v>2</v>
      </c>
      <c r="B8" s="89" t="s">
        <v>171</v>
      </c>
      <c r="C8" s="90">
        <v>50</v>
      </c>
      <c r="D8" s="86">
        <f>C8*D6</f>
        <v>16</v>
      </c>
      <c r="E8" s="86">
        <f>D8*E6</f>
        <v>1.1200000000000001</v>
      </c>
      <c r="F8" s="91">
        <f t="shared" ref="F8:F38" si="0">D8+E8</f>
        <v>17.12</v>
      </c>
      <c r="G8" s="90">
        <f>C8-F8</f>
        <v>32.879999999999995</v>
      </c>
      <c r="H8" s="92">
        <v>18.455666666666666</v>
      </c>
      <c r="I8" s="90">
        <f>F8+H8+M8</f>
        <v>36.575666666666663</v>
      </c>
      <c r="J8" s="93">
        <f>C8-I8</f>
        <v>13.424333333333337</v>
      </c>
      <c r="K8" s="87"/>
      <c r="L8" s="87">
        <v>30</v>
      </c>
      <c r="M8" s="87">
        <v>1</v>
      </c>
      <c r="N8" s="88">
        <v>2</v>
      </c>
      <c r="O8" s="89" t="s">
        <v>171</v>
      </c>
      <c r="P8" s="90">
        <v>50</v>
      </c>
      <c r="Q8" s="86">
        <f>P8*Q6</f>
        <v>15</v>
      </c>
      <c r="R8" s="86">
        <f>Q8*R6</f>
        <v>1.05</v>
      </c>
      <c r="S8" s="91">
        <f t="shared" ref="S8:S38" si="1">Q8+R8</f>
        <v>16.05</v>
      </c>
      <c r="T8" s="90">
        <f>P8-S8</f>
        <v>33.950000000000003</v>
      </c>
      <c r="U8" s="92">
        <v>18.455666666666666</v>
      </c>
      <c r="V8" s="90">
        <f>S8+U8+Z8</f>
        <v>35.50566666666667</v>
      </c>
      <c r="W8" s="93">
        <f>P8-V8</f>
        <v>14.49433333333333</v>
      </c>
      <c r="X8" s="87"/>
      <c r="Y8" s="87">
        <v>30</v>
      </c>
      <c r="Z8" s="87">
        <v>1</v>
      </c>
      <c r="AA8" s="88">
        <v>2</v>
      </c>
      <c r="AB8" s="89" t="s">
        <v>171</v>
      </c>
      <c r="AC8" s="90">
        <v>50</v>
      </c>
      <c r="AD8" s="92">
        <v>18.455666666666666</v>
      </c>
      <c r="AE8" s="93">
        <f>AC8-AD8</f>
        <v>31.544333333333334</v>
      </c>
    </row>
    <row r="9" spans="1:31" ht="34.799999999999997" x14ac:dyDescent="0.4">
      <c r="A9" s="88">
        <v>3</v>
      </c>
      <c r="B9" s="94" t="s">
        <v>114</v>
      </c>
      <c r="C9" s="90" t="s">
        <v>179</v>
      </c>
      <c r="D9" s="86" t="e">
        <f>C9*D6</f>
        <v>#VALUE!</v>
      </c>
      <c r="E9" s="86" t="e">
        <f>D9*E6</f>
        <v>#VALUE!</v>
      </c>
      <c r="F9" s="91" t="e">
        <f t="shared" si="0"/>
        <v>#VALUE!</v>
      </c>
      <c r="G9" s="90" t="e">
        <f>C9-F9</f>
        <v>#VALUE!</v>
      </c>
      <c r="H9" s="92">
        <v>18.455666666666666</v>
      </c>
      <c r="I9" s="90" t="e">
        <f>F9+H9+M9</f>
        <v>#VALUE!</v>
      </c>
      <c r="J9" s="93" t="e">
        <f>C9-I9</f>
        <v>#VALUE!</v>
      </c>
      <c r="K9" s="87"/>
      <c r="L9" s="87">
        <v>30</v>
      </c>
      <c r="M9" s="87">
        <v>1</v>
      </c>
      <c r="N9" s="88">
        <v>3</v>
      </c>
      <c r="O9" s="94" t="s">
        <v>114</v>
      </c>
      <c r="P9" s="90" t="s">
        <v>179</v>
      </c>
      <c r="Q9" s="86" t="e">
        <f>P9*Q6</f>
        <v>#VALUE!</v>
      </c>
      <c r="R9" s="86" t="e">
        <f>Q9*R6</f>
        <v>#VALUE!</v>
      </c>
      <c r="S9" s="91" t="e">
        <f t="shared" si="1"/>
        <v>#VALUE!</v>
      </c>
      <c r="T9" s="90" t="e">
        <f>P9-S9</f>
        <v>#VALUE!</v>
      </c>
      <c r="U9" s="92">
        <v>18.455666666666666</v>
      </c>
      <c r="V9" s="90" t="e">
        <f>S9+U9+Z9</f>
        <v>#VALUE!</v>
      </c>
      <c r="W9" s="93" t="e">
        <f>P9-V9</f>
        <v>#VALUE!</v>
      </c>
      <c r="X9" s="87"/>
      <c r="Y9" s="87">
        <v>30</v>
      </c>
      <c r="Z9" s="87">
        <v>1</v>
      </c>
      <c r="AA9" s="88">
        <v>3</v>
      </c>
      <c r="AB9" s="94" t="s">
        <v>114</v>
      </c>
      <c r="AC9" s="90" t="s">
        <v>179</v>
      </c>
      <c r="AD9" s="92">
        <v>18.455666666666666</v>
      </c>
      <c r="AE9" s="93" t="e">
        <f t="shared" ref="AE9:AE38" si="2">AC9-AD9</f>
        <v>#VALUE!</v>
      </c>
    </row>
    <row r="10" spans="1:31" ht="34.799999999999997" x14ac:dyDescent="0.4">
      <c r="A10" s="88">
        <v>4</v>
      </c>
      <c r="B10" s="89" t="s">
        <v>173</v>
      </c>
      <c r="C10" s="90">
        <v>80</v>
      </c>
      <c r="D10" s="86">
        <f>C10*D6</f>
        <v>25.6</v>
      </c>
      <c r="E10" s="86">
        <f>D10*E6</f>
        <v>1.7920000000000003</v>
      </c>
      <c r="F10" s="91">
        <f t="shared" si="0"/>
        <v>27.392000000000003</v>
      </c>
      <c r="G10" s="90">
        <f>C10-F10</f>
        <v>52.607999999999997</v>
      </c>
      <c r="H10" s="92">
        <v>31.325666666666663</v>
      </c>
      <c r="I10" s="90">
        <f>F10+H10+M10</f>
        <v>59.717666666666666</v>
      </c>
      <c r="J10" s="93">
        <f>C10-I10</f>
        <v>20.282333333333334</v>
      </c>
      <c r="K10" s="87"/>
      <c r="L10" s="87"/>
      <c r="M10" s="87">
        <v>1</v>
      </c>
      <c r="N10" s="88">
        <v>4</v>
      </c>
      <c r="O10" s="89" t="s">
        <v>173</v>
      </c>
      <c r="P10" s="90">
        <v>80</v>
      </c>
      <c r="Q10" s="86">
        <f>P10*Q6</f>
        <v>24</v>
      </c>
      <c r="R10" s="86">
        <f>Q10*R6</f>
        <v>1.6800000000000002</v>
      </c>
      <c r="S10" s="91">
        <f t="shared" si="1"/>
        <v>25.68</v>
      </c>
      <c r="T10" s="90">
        <f>P10-S10</f>
        <v>54.32</v>
      </c>
      <c r="U10" s="92">
        <v>31.325666666666663</v>
      </c>
      <c r="V10" s="90">
        <f>S10+U10+Z10</f>
        <v>58.005666666666663</v>
      </c>
      <c r="W10" s="93">
        <f>P10-V10</f>
        <v>21.994333333333337</v>
      </c>
      <c r="X10" s="87"/>
      <c r="Y10" s="87"/>
      <c r="Z10" s="87">
        <v>1</v>
      </c>
      <c r="AA10" s="88">
        <v>4</v>
      </c>
      <c r="AB10" s="89" t="s">
        <v>173</v>
      </c>
      <c r="AC10" s="90">
        <v>80</v>
      </c>
      <c r="AD10" s="92">
        <v>31.325666666666663</v>
      </c>
      <c r="AE10" s="93">
        <f t="shared" si="2"/>
        <v>48.674333333333337</v>
      </c>
    </row>
    <row r="11" spans="1:31" ht="34.799999999999997" x14ac:dyDescent="0.4">
      <c r="A11" s="88">
        <v>5</v>
      </c>
      <c r="B11" s="89" t="s">
        <v>174</v>
      </c>
      <c r="C11" s="90">
        <v>60</v>
      </c>
      <c r="D11" s="86">
        <f>C11*D6</f>
        <v>19.2</v>
      </c>
      <c r="E11" s="86">
        <f>D11*E6</f>
        <v>1.3440000000000001</v>
      </c>
      <c r="F11" s="91">
        <f t="shared" si="0"/>
        <v>20.544</v>
      </c>
      <c r="G11" s="90">
        <f>C11-F11</f>
        <v>39.456000000000003</v>
      </c>
      <c r="H11" s="92">
        <v>26.645666666666671</v>
      </c>
      <c r="I11" s="90">
        <f>F11+H11+M11</f>
        <v>48.189666666666668</v>
      </c>
      <c r="J11" s="93">
        <f>C11-I11</f>
        <v>11.810333333333332</v>
      </c>
      <c r="K11" s="87"/>
      <c r="L11" s="87"/>
      <c r="M11" s="87">
        <v>1</v>
      </c>
      <c r="N11" s="88">
        <v>5</v>
      </c>
      <c r="O11" s="89" t="s">
        <v>174</v>
      </c>
      <c r="P11" s="90">
        <v>60</v>
      </c>
      <c r="Q11" s="86">
        <f>P11*Q6</f>
        <v>18</v>
      </c>
      <c r="R11" s="86">
        <f>Q11*R6</f>
        <v>1.2600000000000002</v>
      </c>
      <c r="S11" s="91">
        <f t="shared" si="1"/>
        <v>19.260000000000002</v>
      </c>
      <c r="T11" s="90">
        <f>P11-S11</f>
        <v>40.739999999999995</v>
      </c>
      <c r="U11" s="92">
        <v>26.645666666666671</v>
      </c>
      <c r="V11" s="90">
        <f>S11+U11+Z11</f>
        <v>46.905666666666676</v>
      </c>
      <c r="W11" s="93">
        <f>P11-V11</f>
        <v>13.094333333333324</v>
      </c>
      <c r="X11" s="87"/>
      <c r="Y11" s="87"/>
      <c r="Z11" s="87">
        <v>1</v>
      </c>
      <c r="AA11" s="88">
        <v>5</v>
      </c>
      <c r="AB11" s="89" t="s">
        <v>174</v>
      </c>
      <c r="AC11" s="90">
        <v>60</v>
      </c>
      <c r="AD11" s="92">
        <v>26.645666666666671</v>
      </c>
      <c r="AE11" s="93">
        <f t="shared" si="2"/>
        <v>33.354333333333329</v>
      </c>
    </row>
    <row r="12" spans="1:31" ht="34.799999999999997" x14ac:dyDescent="0.4">
      <c r="A12" s="88"/>
      <c r="B12" s="89"/>
      <c r="C12" s="90"/>
      <c r="D12" s="86"/>
      <c r="E12" s="86"/>
      <c r="F12" s="91"/>
      <c r="G12" s="90"/>
      <c r="H12" s="92"/>
      <c r="I12" s="90"/>
      <c r="J12" s="93"/>
      <c r="K12" s="87"/>
      <c r="L12" s="87"/>
      <c r="M12" s="87"/>
      <c r="N12" s="88"/>
      <c r="O12" s="89"/>
      <c r="P12" s="90"/>
      <c r="Q12" s="86"/>
      <c r="R12" s="86"/>
      <c r="S12" s="91"/>
      <c r="T12" s="90"/>
      <c r="U12" s="92"/>
      <c r="V12" s="90"/>
      <c r="W12" s="93"/>
      <c r="X12" s="87"/>
      <c r="Y12" s="87"/>
      <c r="Z12" s="87"/>
      <c r="AA12" s="88"/>
      <c r="AB12" s="89"/>
      <c r="AC12" s="90"/>
      <c r="AD12" s="92"/>
      <c r="AE12" s="93"/>
    </row>
    <row r="13" spans="1:31" ht="34.799999999999997" x14ac:dyDescent="0.4">
      <c r="A13" s="88">
        <v>6</v>
      </c>
      <c r="B13" s="89" t="s">
        <v>36</v>
      </c>
      <c r="C13" s="90">
        <v>55</v>
      </c>
      <c r="D13" s="86">
        <f>C13*D6</f>
        <v>17.600000000000001</v>
      </c>
      <c r="E13" s="86">
        <f>D13*E6</f>
        <v>1.2320000000000002</v>
      </c>
      <c r="F13" s="91">
        <f t="shared" si="0"/>
        <v>18.832000000000001</v>
      </c>
      <c r="G13" s="90">
        <f>C13-F13</f>
        <v>36.167999999999999</v>
      </c>
      <c r="H13" s="92">
        <v>19.723166666666664</v>
      </c>
      <c r="I13" s="90">
        <f>F13+H13+M13</f>
        <v>39.555166666666665</v>
      </c>
      <c r="J13" s="93">
        <f>C13-I13</f>
        <v>15.444833333333335</v>
      </c>
      <c r="K13" s="87"/>
      <c r="L13" s="87">
        <v>30</v>
      </c>
      <c r="M13" s="87">
        <v>1</v>
      </c>
      <c r="N13" s="88">
        <v>6</v>
      </c>
      <c r="O13" s="89" t="s">
        <v>36</v>
      </c>
      <c r="P13" s="90">
        <v>55</v>
      </c>
      <c r="Q13" s="86">
        <f>P13*Q6</f>
        <v>16.5</v>
      </c>
      <c r="R13" s="86">
        <f>Q13*R6</f>
        <v>1.155</v>
      </c>
      <c r="S13" s="91">
        <f t="shared" si="1"/>
        <v>17.655000000000001</v>
      </c>
      <c r="T13" s="90">
        <f>P13-S13</f>
        <v>37.344999999999999</v>
      </c>
      <c r="U13" s="92">
        <v>19.723166666666664</v>
      </c>
      <c r="V13" s="90">
        <f>S13+U13+Z13</f>
        <v>38.378166666666665</v>
      </c>
      <c r="W13" s="93">
        <f>P13-V13</f>
        <v>16.621833333333335</v>
      </c>
      <c r="X13" s="87"/>
      <c r="Y13" s="87">
        <v>30</v>
      </c>
      <c r="Z13" s="87">
        <v>1</v>
      </c>
      <c r="AA13" s="88">
        <v>6</v>
      </c>
      <c r="AB13" s="89" t="s">
        <v>36</v>
      </c>
      <c r="AC13" s="90">
        <v>55</v>
      </c>
      <c r="AD13" s="92">
        <v>19.723166666666664</v>
      </c>
      <c r="AE13" s="93">
        <f t="shared" si="2"/>
        <v>35.276833333333336</v>
      </c>
    </row>
    <row r="14" spans="1:31" ht="34.799999999999997" x14ac:dyDescent="0.4">
      <c r="A14" s="88">
        <v>7</v>
      </c>
      <c r="B14" s="94" t="s">
        <v>50</v>
      </c>
      <c r="C14" s="90" t="s">
        <v>179</v>
      </c>
      <c r="D14" s="86" t="e">
        <f>C14*D6</f>
        <v>#VALUE!</v>
      </c>
      <c r="E14" s="86" t="e">
        <f>D14*E6</f>
        <v>#VALUE!</v>
      </c>
      <c r="F14" s="91" t="e">
        <f t="shared" si="0"/>
        <v>#VALUE!</v>
      </c>
      <c r="G14" s="90" t="e">
        <f>C14-F14</f>
        <v>#VALUE!</v>
      </c>
      <c r="H14" s="92">
        <v>22.3245</v>
      </c>
      <c r="I14" s="90" t="e">
        <f>F14+H14+M14</f>
        <v>#VALUE!</v>
      </c>
      <c r="J14" s="93" t="e">
        <f>C14-I14</f>
        <v>#VALUE!</v>
      </c>
      <c r="K14" s="87"/>
      <c r="L14" s="87">
        <v>30</v>
      </c>
      <c r="M14" s="87">
        <v>1</v>
      </c>
      <c r="N14" s="88">
        <v>7</v>
      </c>
      <c r="O14" s="94" t="s">
        <v>50</v>
      </c>
      <c r="P14" s="90" t="s">
        <v>179</v>
      </c>
      <c r="Q14" s="86" t="e">
        <f>P14*Q6</f>
        <v>#VALUE!</v>
      </c>
      <c r="R14" s="86" t="e">
        <f>Q14*R6</f>
        <v>#VALUE!</v>
      </c>
      <c r="S14" s="91" t="e">
        <f t="shared" si="1"/>
        <v>#VALUE!</v>
      </c>
      <c r="T14" s="90" t="e">
        <f>P14-S14</f>
        <v>#VALUE!</v>
      </c>
      <c r="U14" s="92">
        <v>22.3245</v>
      </c>
      <c r="V14" s="90" t="e">
        <f>S14+U14+Z14</f>
        <v>#VALUE!</v>
      </c>
      <c r="W14" s="93" t="e">
        <f>P14-V14</f>
        <v>#VALUE!</v>
      </c>
      <c r="X14" s="87"/>
      <c r="Y14" s="87">
        <v>30</v>
      </c>
      <c r="Z14" s="87">
        <v>1</v>
      </c>
      <c r="AA14" s="88">
        <v>7</v>
      </c>
      <c r="AB14" s="94" t="s">
        <v>50</v>
      </c>
      <c r="AC14" s="90" t="s">
        <v>179</v>
      </c>
      <c r="AD14" s="92">
        <v>22.3245</v>
      </c>
      <c r="AE14" s="93" t="e">
        <f t="shared" si="2"/>
        <v>#VALUE!</v>
      </c>
    </row>
    <row r="15" spans="1:31" ht="34.799999999999997" x14ac:dyDescent="0.4">
      <c r="A15" s="88">
        <v>8</v>
      </c>
      <c r="B15" s="89" t="s">
        <v>72</v>
      </c>
      <c r="C15" s="90">
        <v>55</v>
      </c>
      <c r="D15" s="86">
        <f>C15*D6</f>
        <v>17.600000000000001</v>
      </c>
      <c r="E15" s="86">
        <f>D15*E6</f>
        <v>1.2320000000000002</v>
      </c>
      <c r="F15" s="91">
        <f t="shared" si="0"/>
        <v>18.832000000000001</v>
      </c>
      <c r="G15" s="90">
        <f>C15-F15</f>
        <v>36.167999999999999</v>
      </c>
      <c r="H15" s="92">
        <v>17.480666666666664</v>
      </c>
      <c r="I15" s="90">
        <f>F15+H15+M15</f>
        <v>37.312666666666665</v>
      </c>
      <c r="J15" s="93">
        <f>C15-I15</f>
        <v>17.687333333333335</v>
      </c>
      <c r="K15" s="87"/>
      <c r="L15" s="87">
        <v>30</v>
      </c>
      <c r="M15" s="87">
        <v>1</v>
      </c>
      <c r="N15" s="88">
        <v>8</v>
      </c>
      <c r="O15" s="89" t="s">
        <v>72</v>
      </c>
      <c r="P15" s="90">
        <v>55</v>
      </c>
      <c r="Q15" s="86">
        <f>P15*Q6</f>
        <v>16.5</v>
      </c>
      <c r="R15" s="86">
        <f>Q15*R6</f>
        <v>1.155</v>
      </c>
      <c r="S15" s="91">
        <f t="shared" si="1"/>
        <v>17.655000000000001</v>
      </c>
      <c r="T15" s="90">
        <f>P15-S15</f>
        <v>37.344999999999999</v>
      </c>
      <c r="U15" s="92">
        <v>17.480666666666664</v>
      </c>
      <c r="V15" s="90">
        <f>S15+U15+Z15</f>
        <v>36.135666666666665</v>
      </c>
      <c r="W15" s="93">
        <f>P15-V15</f>
        <v>18.864333333333335</v>
      </c>
      <c r="X15" s="87"/>
      <c r="Y15" s="87">
        <v>30</v>
      </c>
      <c r="Z15" s="87">
        <v>1</v>
      </c>
      <c r="AA15" s="88">
        <v>8</v>
      </c>
      <c r="AB15" s="89" t="s">
        <v>72</v>
      </c>
      <c r="AC15" s="90">
        <v>55</v>
      </c>
      <c r="AD15" s="92">
        <v>17.480666666666664</v>
      </c>
      <c r="AE15" s="93">
        <f t="shared" si="2"/>
        <v>37.519333333333336</v>
      </c>
    </row>
    <row r="16" spans="1:31" ht="34.799999999999997" x14ac:dyDescent="0.4">
      <c r="A16" s="88">
        <v>9</v>
      </c>
      <c r="B16" s="89" t="s">
        <v>74</v>
      </c>
      <c r="C16" s="90">
        <v>60</v>
      </c>
      <c r="D16" s="86">
        <f>C16*D6</f>
        <v>19.2</v>
      </c>
      <c r="E16" s="86">
        <f>D16*E6</f>
        <v>1.3440000000000001</v>
      </c>
      <c r="F16" s="91">
        <f t="shared" si="0"/>
        <v>20.544</v>
      </c>
      <c r="G16" s="90">
        <f>C16-F16</f>
        <v>39.456000000000003</v>
      </c>
      <c r="H16" s="92">
        <v>18.182666666666663</v>
      </c>
      <c r="I16" s="90">
        <f>F16+H16+M16</f>
        <v>39.726666666666659</v>
      </c>
      <c r="J16" s="93">
        <f>C16-I16</f>
        <v>20.273333333333341</v>
      </c>
      <c r="K16" s="87"/>
      <c r="L16" s="87">
        <v>30</v>
      </c>
      <c r="M16" s="87">
        <v>1</v>
      </c>
      <c r="N16" s="88">
        <v>9</v>
      </c>
      <c r="O16" s="89" t="s">
        <v>74</v>
      </c>
      <c r="P16" s="90">
        <v>60</v>
      </c>
      <c r="Q16" s="86">
        <f>P16*Q6</f>
        <v>18</v>
      </c>
      <c r="R16" s="86">
        <f>Q16*R6</f>
        <v>1.2600000000000002</v>
      </c>
      <c r="S16" s="91">
        <f t="shared" si="1"/>
        <v>19.260000000000002</v>
      </c>
      <c r="T16" s="90">
        <f>P16-S16</f>
        <v>40.739999999999995</v>
      </c>
      <c r="U16" s="92">
        <v>18.182666666666663</v>
      </c>
      <c r="V16" s="90">
        <f>S16+U16+Z16</f>
        <v>38.442666666666668</v>
      </c>
      <c r="W16" s="93">
        <f>P16-V16</f>
        <v>21.557333333333332</v>
      </c>
      <c r="X16" s="87"/>
      <c r="Y16" s="87">
        <v>30</v>
      </c>
      <c r="Z16" s="87">
        <v>1</v>
      </c>
      <c r="AA16" s="88">
        <v>9</v>
      </c>
      <c r="AB16" s="89" t="s">
        <v>74</v>
      </c>
      <c r="AC16" s="90">
        <v>60</v>
      </c>
      <c r="AD16" s="92">
        <v>18.182666666666663</v>
      </c>
      <c r="AE16" s="93">
        <f t="shared" si="2"/>
        <v>41.817333333333337</v>
      </c>
    </row>
    <row r="17" spans="1:31" ht="34.799999999999997" x14ac:dyDescent="0.4">
      <c r="A17" s="88">
        <v>10</v>
      </c>
      <c r="B17" s="89" t="s">
        <v>115</v>
      </c>
      <c r="C17" s="90">
        <v>20</v>
      </c>
      <c r="D17" s="86">
        <f>C17*D6</f>
        <v>6.4</v>
      </c>
      <c r="E17" s="86">
        <f>D17*E6</f>
        <v>0.44800000000000006</v>
      </c>
      <c r="F17" s="91">
        <f t="shared" si="0"/>
        <v>6.8480000000000008</v>
      </c>
      <c r="G17" s="90">
        <f>C17-F17</f>
        <v>13.151999999999999</v>
      </c>
      <c r="H17" s="92">
        <v>9.6789333333333332</v>
      </c>
      <c r="I17" s="90">
        <f>F17+H17+M17</f>
        <v>17.526933333333332</v>
      </c>
      <c r="J17" s="93">
        <f>C17-I17</f>
        <v>2.4730666666666679</v>
      </c>
      <c r="K17" s="87"/>
      <c r="L17" s="87"/>
      <c r="M17" s="87">
        <v>1</v>
      </c>
      <c r="N17" s="88">
        <v>10</v>
      </c>
      <c r="O17" s="89" t="s">
        <v>115</v>
      </c>
      <c r="P17" s="90">
        <v>20</v>
      </c>
      <c r="Q17" s="86">
        <f>P17*Q6</f>
        <v>6</v>
      </c>
      <c r="R17" s="86">
        <f>Q17*R6</f>
        <v>0.42000000000000004</v>
      </c>
      <c r="S17" s="91">
        <f t="shared" si="1"/>
        <v>6.42</v>
      </c>
      <c r="T17" s="90">
        <f>P17-S17</f>
        <v>13.58</v>
      </c>
      <c r="U17" s="92">
        <v>9.6789333333333332</v>
      </c>
      <c r="V17" s="90">
        <f>S17+U17+Z17</f>
        <v>17.098933333333335</v>
      </c>
      <c r="W17" s="93">
        <f>P17-V17</f>
        <v>2.9010666666666651</v>
      </c>
      <c r="X17" s="87"/>
      <c r="Y17" s="87"/>
      <c r="Z17" s="87">
        <v>1</v>
      </c>
      <c r="AA17" s="88">
        <v>10</v>
      </c>
      <c r="AB17" s="89" t="s">
        <v>115</v>
      </c>
      <c r="AC17" s="90">
        <v>20</v>
      </c>
      <c r="AD17" s="92">
        <v>9.6789333333333332</v>
      </c>
      <c r="AE17" s="93">
        <f t="shared" si="2"/>
        <v>10.321066666666667</v>
      </c>
    </row>
    <row r="18" spans="1:31" ht="34.799999999999997" x14ac:dyDescent="0.4">
      <c r="A18" s="88"/>
      <c r="B18" s="89"/>
      <c r="C18" s="90"/>
      <c r="D18" s="86"/>
      <c r="E18" s="86"/>
      <c r="F18" s="91"/>
      <c r="G18" s="90"/>
      <c r="H18" s="92"/>
      <c r="I18" s="90"/>
      <c r="J18" s="93"/>
      <c r="K18" s="87"/>
      <c r="L18" s="87"/>
      <c r="M18" s="87"/>
      <c r="N18" s="88"/>
      <c r="O18" s="89"/>
      <c r="P18" s="90"/>
      <c r="Q18" s="86"/>
      <c r="R18" s="86"/>
      <c r="S18" s="91"/>
      <c r="T18" s="90"/>
      <c r="U18" s="92"/>
      <c r="V18" s="90"/>
      <c r="W18" s="93"/>
      <c r="X18" s="87"/>
      <c r="Y18" s="87"/>
      <c r="Z18" s="87"/>
      <c r="AA18" s="88"/>
      <c r="AB18" s="89"/>
      <c r="AC18" s="90"/>
      <c r="AD18" s="92"/>
      <c r="AE18" s="93"/>
    </row>
    <row r="19" spans="1:31" ht="34.799999999999997" x14ac:dyDescent="0.4">
      <c r="A19" s="88">
        <v>11</v>
      </c>
      <c r="B19" s="89" t="s">
        <v>89</v>
      </c>
      <c r="C19" s="90">
        <v>50</v>
      </c>
      <c r="D19" s="86">
        <f>C19*D6</f>
        <v>16</v>
      </c>
      <c r="E19" s="86">
        <f>D19*E6</f>
        <v>1.1200000000000001</v>
      </c>
      <c r="F19" s="91">
        <f t="shared" si="0"/>
        <v>17.12</v>
      </c>
      <c r="G19" s="90">
        <f t="shared" ref="G19:G24" si="3">C19-F19</f>
        <v>32.879999999999995</v>
      </c>
      <c r="H19" s="92">
        <v>21.189999999999998</v>
      </c>
      <c r="I19" s="90">
        <f t="shared" ref="I19:I24" si="4">F19+H19+M19</f>
        <v>39.31</v>
      </c>
      <c r="J19" s="93">
        <f t="shared" ref="J19:J24" si="5">C19-I19</f>
        <v>10.689999999999998</v>
      </c>
      <c r="K19" s="87">
        <v>5</v>
      </c>
      <c r="L19" s="87">
        <v>30</v>
      </c>
      <c r="M19" s="87">
        <v>1</v>
      </c>
      <c r="N19" s="88">
        <v>11</v>
      </c>
      <c r="O19" s="89" t="s">
        <v>89</v>
      </c>
      <c r="P19" s="90">
        <v>50</v>
      </c>
      <c r="Q19" s="86">
        <f>P19*Q6</f>
        <v>15</v>
      </c>
      <c r="R19" s="86">
        <f>Q19*R6</f>
        <v>1.05</v>
      </c>
      <c r="S19" s="91">
        <f t="shared" si="1"/>
        <v>16.05</v>
      </c>
      <c r="T19" s="90">
        <f t="shared" ref="T19:T24" si="6">P19-S19</f>
        <v>33.950000000000003</v>
      </c>
      <c r="U19" s="92">
        <v>21.189999999999998</v>
      </c>
      <c r="V19" s="90">
        <f t="shared" ref="V19:V24" si="7">S19+U19+Z19</f>
        <v>38.239999999999995</v>
      </c>
      <c r="W19" s="93">
        <f t="shared" ref="W19:W24" si="8">P19-V19</f>
        <v>11.760000000000005</v>
      </c>
      <c r="X19" s="87">
        <v>5</v>
      </c>
      <c r="Y19" s="87">
        <v>30</v>
      </c>
      <c r="Z19" s="87">
        <v>1</v>
      </c>
      <c r="AA19" s="88">
        <v>11</v>
      </c>
      <c r="AB19" s="89" t="s">
        <v>89</v>
      </c>
      <c r="AC19" s="90">
        <v>50</v>
      </c>
      <c r="AD19" s="92">
        <v>21.189999999999998</v>
      </c>
      <c r="AE19" s="93">
        <f t="shared" si="2"/>
        <v>28.810000000000002</v>
      </c>
    </row>
    <row r="20" spans="1:31" ht="34.799999999999997" x14ac:dyDescent="0.4">
      <c r="A20" s="88">
        <v>12</v>
      </c>
      <c r="B20" s="89" t="s">
        <v>175</v>
      </c>
      <c r="C20" s="90">
        <v>60</v>
      </c>
      <c r="D20" s="86">
        <f>C20*D6</f>
        <v>19.2</v>
      </c>
      <c r="E20" s="86">
        <f>D20*E6</f>
        <v>1.3440000000000001</v>
      </c>
      <c r="F20" s="91">
        <f t="shared" si="0"/>
        <v>20.544</v>
      </c>
      <c r="G20" s="90">
        <f t="shared" si="3"/>
        <v>39.456000000000003</v>
      </c>
      <c r="H20" s="92">
        <v>35.230000000000004</v>
      </c>
      <c r="I20" s="90">
        <f t="shared" si="4"/>
        <v>56.774000000000001</v>
      </c>
      <c r="J20" s="93">
        <f t="shared" si="5"/>
        <v>3.2259999999999991</v>
      </c>
      <c r="K20" s="87"/>
      <c r="L20" s="87"/>
      <c r="M20" s="87">
        <v>1</v>
      </c>
      <c r="N20" s="88">
        <v>12</v>
      </c>
      <c r="O20" s="89" t="s">
        <v>175</v>
      </c>
      <c r="P20" s="90">
        <v>60</v>
      </c>
      <c r="Q20" s="86">
        <f>P20*Q6</f>
        <v>18</v>
      </c>
      <c r="R20" s="86">
        <f>Q20*R6</f>
        <v>1.2600000000000002</v>
      </c>
      <c r="S20" s="91">
        <f t="shared" si="1"/>
        <v>19.260000000000002</v>
      </c>
      <c r="T20" s="90">
        <f t="shared" si="6"/>
        <v>40.739999999999995</v>
      </c>
      <c r="U20" s="92">
        <v>35.230000000000004</v>
      </c>
      <c r="V20" s="90">
        <f t="shared" si="7"/>
        <v>55.490000000000009</v>
      </c>
      <c r="W20" s="93">
        <f t="shared" si="8"/>
        <v>4.5099999999999909</v>
      </c>
      <c r="X20" s="87"/>
      <c r="Y20" s="87"/>
      <c r="Z20" s="87">
        <v>1</v>
      </c>
      <c r="AA20" s="88">
        <v>12</v>
      </c>
      <c r="AB20" s="89" t="s">
        <v>175</v>
      </c>
      <c r="AC20" s="90">
        <v>60</v>
      </c>
      <c r="AD20" s="92">
        <v>35.230000000000004</v>
      </c>
      <c r="AE20" s="93">
        <f t="shared" si="2"/>
        <v>24.769999999999996</v>
      </c>
    </row>
    <row r="21" spans="1:31" ht="34.799999999999997" x14ac:dyDescent="0.4">
      <c r="A21" s="88">
        <v>13</v>
      </c>
      <c r="B21" s="89" t="s">
        <v>38</v>
      </c>
      <c r="C21" s="90">
        <v>55</v>
      </c>
      <c r="D21" s="86">
        <f>C21*D6</f>
        <v>17.600000000000001</v>
      </c>
      <c r="E21" s="86">
        <f>D21*E6</f>
        <v>1.2320000000000002</v>
      </c>
      <c r="F21" s="91">
        <f t="shared" si="0"/>
        <v>18.832000000000001</v>
      </c>
      <c r="G21" s="90">
        <f t="shared" si="3"/>
        <v>36.167999999999999</v>
      </c>
      <c r="H21" s="92">
        <v>21.384999999999998</v>
      </c>
      <c r="I21" s="90">
        <f t="shared" si="4"/>
        <v>41.216999999999999</v>
      </c>
      <c r="J21" s="93">
        <f t="shared" si="5"/>
        <v>13.783000000000001</v>
      </c>
      <c r="K21" s="87">
        <v>5</v>
      </c>
      <c r="L21" s="87">
        <v>30</v>
      </c>
      <c r="M21" s="87">
        <v>1</v>
      </c>
      <c r="N21" s="88">
        <v>13</v>
      </c>
      <c r="O21" s="89" t="s">
        <v>38</v>
      </c>
      <c r="P21" s="90">
        <v>55</v>
      </c>
      <c r="Q21" s="86">
        <f>P21*Q6</f>
        <v>16.5</v>
      </c>
      <c r="R21" s="86">
        <f>Q21*R6</f>
        <v>1.155</v>
      </c>
      <c r="S21" s="91">
        <f t="shared" si="1"/>
        <v>17.655000000000001</v>
      </c>
      <c r="T21" s="90">
        <f t="shared" si="6"/>
        <v>37.344999999999999</v>
      </c>
      <c r="U21" s="92">
        <v>21.384999999999998</v>
      </c>
      <c r="V21" s="90">
        <f t="shared" si="7"/>
        <v>40.04</v>
      </c>
      <c r="W21" s="93">
        <f t="shared" si="8"/>
        <v>14.96</v>
      </c>
      <c r="X21" s="87">
        <v>5</v>
      </c>
      <c r="Y21" s="87">
        <v>30</v>
      </c>
      <c r="Z21" s="87">
        <v>1</v>
      </c>
      <c r="AA21" s="88">
        <v>13</v>
      </c>
      <c r="AB21" s="89" t="s">
        <v>38</v>
      </c>
      <c r="AC21" s="90">
        <v>55</v>
      </c>
      <c r="AD21" s="92">
        <v>21.384999999999998</v>
      </c>
      <c r="AE21" s="93">
        <f t="shared" si="2"/>
        <v>33.615000000000002</v>
      </c>
    </row>
    <row r="22" spans="1:31" ht="34.799999999999997" x14ac:dyDescent="0.4">
      <c r="A22" s="88">
        <v>14</v>
      </c>
      <c r="B22" s="89" t="s">
        <v>176</v>
      </c>
      <c r="C22" s="90">
        <v>60</v>
      </c>
      <c r="D22" s="86">
        <f>C22*D6</f>
        <v>19.2</v>
      </c>
      <c r="E22" s="86">
        <f>D22*E6</f>
        <v>1.3440000000000001</v>
      </c>
      <c r="F22" s="91">
        <f t="shared" si="0"/>
        <v>20.544</v>
      </c>
      <c r="G22" s="90">
        <f t="shared" si="3"/>
        <v>39.456000000000003</v>
      </c>
      <c r="H22" s="92">
        <v>31.098785714285718</v>
      </c>
      <c r="I22" s="90">
        <f t="shared" si="4"/>
        <v>52.642785714285722</v>
      </c>
      <c r="J22" s="93">
        <f t="shared" si="5"/>
        <v>7.3572142857142779</v>
      </c>
      <c r="K22" s="87">
        <v>5</v>
      </c>
      <c r="L22" s="87">
        <v>30</v>
      </c>
      <c r="M22" s="87">
        <v>1</v>
      </c>
      <c r="N22" s="88">
        <v>14</v>
      </c>
      <c r="O22" s="89" t="s">
        <v>176</v>
      </c>
      <c r="P22" s="90">
        <v>60</v>
      </c>
      <c r="Q22" s="86">
        <f>P22*Q6</f>
        <v>18</v>
      </c>
      <c r="R22" s="86">
        <f>Q22*R6</f>
        <v>1.2600000000000002</v>
      </c>
      <c r="S22" s="91">
        <f t="shared" si="1"/>
        <v>19.260000000000002</v>
      </c>
      <c r="T22" s="90">
        <f t="shared" si="6"/>
        <v>40.739999999999995</v>
      </c>
      <c r="U22" s="92">
        <v>31.098785714285718</v>
      </c>
      <c r="V22" s="90">
        <f t="shared" si="7"/>
        <v>51.358785714285716</v>
      </c>
      <c r="W22" s="93">
        <f t="shared" si="8"/>
        <v>8.641214285714284</v>
      </c>
      <c r="X22" s="87">
        <v>5</v>
      </c>
      <c r="Y22" s="87">
        <v>30</v>
      </c>
      <c r="Z22" s="87">
        <v>1</v>
      </c>
      <c r="AA22" s="88">
        <v>14</v>
      </c>
      <c r="AB22" s="89" t="s">
        <v>176</v>
      </c>
      <c r="AC22" s="90">
        <v>60</v>
      </c>
      <c r="AD22" s="92">
        <v>31.098785714285718</v>
      </c>
      <c r="AE22" s="93">
        <f t="shared" si="2"/>
        <v>28.901214285714282</v>
      </c>
    </row>
    <row r="23" spans="1:31" ht="34.799999999999997" x14ac:dyDescent="0.4">
      <c r="A23" s="88">
        <v>15</v>
      </c>
      <c r="B23" s="89" t="s">
        <v>177</v>
      </c>
      <c r="C23" s="90">
        <v>60</v>
      </c>
      <c r="D23" s="86">
        <f>C23*D6</f>
        <v>19.2</v>
      </c>
      <c r="E23" s="86">
        <f>D23*E6</f>
        <v>1.3440000000000001</v>
      </c>
      <c r="F23" s="91">
        <f t="shared" si="0"/>
        <v>20.544</v>
      </c>
      <c r="G23" s="90">
        <f t="shared" si="3"/>
        <v>39.456000000000003</v>
      </c>
      <c r="H23" s="92">
        <v>31.098785714285718</v>
      </c>
      <c r="I23" s="90">
        <f t="shared" si="4"/>
        <v>52.642785714285722</v>
      </c>
      <c r="J23" s="93">
        <f t="shared" si="5"/>
        <v>7.3572142857142779</v>
      </c>
      <c r="K23" s="87">
        <v>5</v>
      </c>
      <c r="L23" s="87">
        <v>30</v>
      </c>
      <c r="M23" s="87">
        <v>1</v>
      </c>
      <c r="N23" s="88">
        <v>15</v>
      </c>
      <c r="O23" s="89" t="s">
        <v>177</v>
      </c>
      <c r="P23" s="90">
        <v>60</v>
      </c>
      <c r="Q23" s="86">
        <f>P23*Q6</f>
        <v>18</v>
      </c>
      <c r="R23" s="86">
        <f>Q23*R6</f>
        <v>1.2600000000000002</v>
      </c>
      <c r="S23" s="91">
        <f t="shared" si="1"/>
        <v>19.260000000000002</v>
      </c>
      <c r="T23" s="90">
        <f t="shared" si="6"/>
        <v>40.739999999999995</v>
      </c>
      <c r="U23" s="92">
        <v>31.098785714285718</v>
      </c>
      <c r="V23" s="90">
        <f t="shared" si="7"/>
        <v>51.358785714285716</v>
      </c>
      <c r="W23" s="93">
        <f t="shared" si="8"/>
        <v>8.641214285714284</v>
      </c>
      <c r="X23" s="87">
        <v>5</v>
      </c>
      <c r="Y23" s="87">
        <v>30</v>
      </c>
      <c r="Z23" s="87">
        <v>1</v>
      </c>
      <c r="AA23" s="88">
        <v>15</v>
      </c>
      <c r="AB23" s="89" t="s">
        <v>177</v>
      </c>
      <c r="AC23" s="90">
        <v>60</v>
      </c>
      <c r="AD23" s="92">
        <v>31.098785714285718</v>
      </c>
      <c r="AE23" s="93">
        <f t="shared" si="2"/>
        <v>28.901214285714282</v>
      </c>
    </row>
    <row r="24" spans="1:31" ht="34.799999999999997" x14ac:dyDescent="0.4">
      <c r="A24" s="88">
        <v>16</v>
      </c>
      <c r="B24" s="89" t="s">
        <v>110</v>
      </c>
      <c r="C24" s="90">
        <v>55</v>
      </c>
      <c r="D24" s="86">
        <f>C24*D6</f>
        <v>17.600000000000001</v>
      </c>
      <c r="E24" s="86">
        <f>D24*E6</f>
        <v>1.2320000000000002</v>
      </c>
      <c r="F24" s="91">
        <f t="shared" si="0"/>
        <v>18.832000000000001</v>
      </c>
      <c r="G24" s="90">
        <f t="shared" si="3"/>
        <v>36.167999999999999</v>
      </c>
      <c r="H24" s="92">
        <v>32.740314285714284</v>
      </c>
      <c r="I24" s="90">
        <f t="shared" si="4"/>
        <v>52.572314285714285</v>
      </c>
      <c r="J24" s="93">
        <f t="shared" si="5"/>
        <v>2.4276857142857153</v>
      </c>
      <c r="K24" s="87">
        <v>5</v>
      </c>
      <c r="L24" s="87">
        <v>30</v>
      </c>
      <c r="M24" s="87">
        <v>1</v>
      </c>
      <c r="N24" s="88">
        <v>16</v>
      </c>
      <c r="O24" s="89" t="s">
        <v>110</v>
      </c>
      <c r="P24" s="90">
        <v>55</v>
      </c>
      <c r="Q24" s="86">
        <f>P24*Q6</f>
        <v>16.5</v>
      </c>
      <c r="R24" s="86">
        <f>Q24*R6</f>
        <v>1.155</v>
      </c>
      <c r="S24" s="91">
        <f t="shared" si="1"/>
        <v>17.655000000000001</v>
      </c>
      <c r="T24" s="90">
        <f t="shared" si="6"/>
        <v>37.344999999999999</v>
      </c>
      <c r="U24" s="92">
        <v>32.740314285714284</v>
      </c>
      <c r="V24" s="90">
        <f t="shared" si="7"/>
        <v>51.395314285714285</v>
      </c>
      <c r="W24" s="93">
        <f t="shared" si="8"/>
        <v>3.6046857142857149</v>
      </c>
      <c r="X24" s="87">
        <v>5</v>
      </c>
      <c r="Y24" s="87">
        <v>30</v>
      </c>
      <c r="Z24" s="87">
        <v>1</v>
      </c>
      <c r="AA24" s="88">
        <v>16</v>
      </c>
      <c r="AB24" s="89" t="s">
        <v>110</v>
      </c>
      <c r="AC24" s="90">
        <v>55</v>
      </c>
      <c r="AD24" s="92">
        <v>32.740314285714284</v>
      </c>
      <c r="AE24" s="93">
        <f t="shared" si="2"/>
        <v>22.259685714285716</v>
      </c>
    </row>
    <row r="25" spans="1:31" ht="34.799999999999997" x14ac:dyDescent="0.4">
      <c r="A25" s="88"/>
      <c r="B25" s="89"/>
      <c r="C25" s="90"/>
      <c r="D25" s="86"/>
      <c r="E25" s="86"/>
      <c r="F25" s="91"/>
      <c r="G25" s="90"/>
      <c r="H25" s="92"/>
      <c r="I25" s="90"/>
      <c r="J25" s="93"/>
      <c r="K25" s="87"/>
      <c r="L25" s="87"/>
      <c r="M25" s="87"/>
      <c r="N25" s="88"/>
      <c r="O25" s="89"/>
      <c r="P25" s="90"/>
      <c r="Q25" s="86"/>
      <c r="R25" s="86"/>
      <c r="S25" s="91"/>
      <c r="T25" s="90"/>
      <c r="U25" s="92"/>
      <c r="V25" s="90"/>
      <c r="W25" s="93"/>
      <c r="X25" s="87"/>
      <c r="Y25" s="87"/>
      <c r="Z25" s="87"/>
      <c r="AA25" s="88"/>
      <c r="AB25" s="89"/>
      <c r="AC25" s="90"/>
      <c r="AD25" s="92"/>
      <c r="AE25" s="93"/>
    </row>
    <row r="26" spans="1:31" ht="34.799999999999997" x14ac:dyDescent="0.4">
      <c r="A26" s="88">
        <v>17</v>
      </c>
      <c r="B26" s="89" t="s">
        <v>31</v>
      </c>
      <c r="C26" s="90">
        <v>50</v>
      </c>
      <c r="D26" s="86">
        <f>C26*D6</f>
        <v>16</v>
      </c>
      <c r="E26" s="86">
        <f>D26*E6</f>
        <v>1.1200000000000001</v>
      </c>
      <c r="F26" s="91">
        <f t="shared" si="0"/>
        <v>17.12</v>
      </c>
      <c r="G26" s="90">
        <f>C26-F26</f>
        <v>32.879999999999995</v>
      </c>
      <c r="H26" s="92">
        <v>29.622666666666664</v>
      </c>
      <c r="I26" s="90">
        <f>F26+H26+M26</f>
        <v>47.742666666666665</v>
      </c>
      <c r="J26" s="93">
        <f>C26-I26</f>
        <v>2.2573333333333352</v>
      </c>
      <c r="K26" s="87">
        <v>5</v>
      </c>
      <c r="L26" s="87">
        <v>30</v>
      </c>
      <c r="M26" s="87">
        <v>1</v>
      </c>
      <c r="N26" s="88">
        <v>17</v>
      </c>
      <c r="O26" s="89" t="s">
        <v>31</v>
      </c>
      <c r="P26" s="90">
        <v>50</v>
      </c>
      <c r="Q26" s="86">
        <f>P26*Q6</f>
        <v>15</v>
      </c>
      <c r="R26" s="86">
        <f>Q26*R6</f>
        <v>1.05</v>
      </c>
      <c r="S26" s="91">
        <f t="shared" si="1"/>
        <v>16.05</v>
      </c>
      <c r="T26" s="90">
        <f>P26-S26</f>
        <v>33.950000000000003</v>
      </c>
      <c r="U26" s="92">
        <v>29.622666666666664</v>
      </c>
      <c r="V26" s="90">
        <f>S26+U26+Z26</f>
        <v>46.672666666666665</v>
      </c>
      <c r="W26" s="93">
        <f>P26-V26</f>
        <v>3.3273333333333355</v>
      </c>
      <c r="X26" s="87">
        <v>5</v>
      </c>
      <c r="Y26" s="87">
        <v>30</v>
      </c>
      <c r="Z26" s="87">
        <v>1</v>
      </c>
      <c r="AA26" s="88">
        <v>17</v>
      </c>
      <c r="AB26" s="89" t="s">
        <v>31</v>
      </c>
      <c r="AC26" s="90">
        <v>50</v>
      </c>
      <c r="AD26" s="92">
        <v>29.622666666666664</v>
      </c>
      <c r="AE26" s="93">
        <f t="shared" si="2"/>
        <v>20.377333333333336</v>
      </c>
    </row>
    <row r="27" spans="1:31" ht="34.799999999999997" x14ac:dyDescent="0.4">
      <c r="A27" s="88">
        <v>18</v>
      </c>
      <c r="B27" s="94" t="s">
        <v>32</v>
      </c>
      <c r="C27" s="90" t="s">
        <v>179</v>
      </c>
      <c r="D27" s="86" t="e">
        <f>C27*D6</f>
        <v>#VALUE!</v>
      </c>
      <c r="E27" s="86" t="e">
        <f>D27*E6</f>
        <v>#VALUE!</v>
      </c>
      <c r="F27" s="91" t="e">
        <f t="shared" si="0"/>
        <v>#VALUE!</v>
      </c>
      <c r="G27" s="90" t="e">
        <f>C27-F27</f>
        <v>#VALUE!</v>
      </c>
      <c r="H27" s="92"/>
      <c r="I27" s="90" t="e">
        <f>F27+H27+M27</f>
        <v>#VALUE!</v>
      </c>
      <c r="J27" s="93" t="e">
        <f>C27-I27</f>
        <v>#VALUE!</v>
      </c>
      <c r="K27" s="87">
        <v>5</v>
      </c>
      <c r="L27" s="87">
        <v>30</v>
      </c>
      <c r="M27" s="87">
        <v>1</v>
      </c>
      <c r="N27" s="88">
        <v>18</v>
      </c>
      <c r="O27" s="94" t="s">
        <v>32</v>
      </c>
      <c r="P27" s="90" t="s">
        <v>179</v>
      </c>
      <c r="Q27" s="86" t="e">
        <f>P27*Q6</f>
        <v>#VALUE!</v>
      </c>
      <c r="R27" s="86" t="e">
        <f>Q27*R6</f>
        <v>#VALUE!</v>
      </c>
      <c r="S27" s="91" t="e">
        <f t="shared" si="1"/>
        <v>#VALUE!</v>
      </c>
      <c r="T27" s="90" t="e">
        <f>P27-S27</f>
        <v>#VALUE!</v>
      </c>
      <c r="U27" s="92"/>
      <c r="V27" s="90" t="e">
        <f>S27+U27+Z27</f>
        <v>#VALUE!</v>
      </c>
      <c r="W27" s="93" t="e">
        <f>P27-V27</f>
        <v>#VALUE!</v>
      </c>
      <c r="X27" s="87">
        <v>5</v>
      </c>
      <c r="Y27" s="87">
        <v>30</v>
      </c>
      <c r="Z27" s="87">
        <v>1</v>
      </c>
      <c r="AA27" s="88">
        <v>18</v>
      </c>
      <c r="AB27" s="94" t="s">
        <v>32</v>
      </c>
      <c r="AC27" s="90" t="s">
        <v>179</v>
      </c>
      <c r="AD27" s="92"/>
      <c r="AE27" s="93" t="e">
        <f t="shared" si="2"/>
        <v>#VALUE!</v>
      </c>
    </row>
    <row r="28" spans="1:31" ht="34.799999999999997" x14ac:dyDescent="0.4">
      <c r="A28" s="88">
        <v>19</v>
      </c>
      <c r="B28" s="89" t="s">
        <v>68</v>
      </c>
      <c r="C28" s="90">
        <v>50</v>
      </c>
      <c r="D28" s="86">
        <f>C28*D6</f>
        <v>16</v>
      </c>
      <c r="E28" s="86">
        <f>D28*E6</f>
        <v>1.1200000000000001</v>
      </c>
      <c r="F28" s="91">
        <f t="shared" si="0"/>
        <v>17.12</v>
      </c>
      <c r="G28" s="90">
        <f>C28-F28</f>
        <v>32.879999999999995</v>
      </c>
      <c r="H28" s="92">
        <v>25.540666666666663</v>
      </c>
      <c r="I28" s="90">
        <f>F28+H28+M28</f>
        <v>43.660666666666664</v>
      </c>
      <c r="J28" s="93">
        <f>C28-I28</f>
        <v>6.3393333333333359</v>
      </c>
      <c r="K28" s="87">
        <v>5</v>
      </c>
      <c r="L28" s="87"/>
      <c r="M28" s="87">
        <v>1</v>
      </c>
      <c r="N28" s="88">
        <v>19</v>
      </c>
      <c r="O28" s="89" t="s">
        <v>68</v>
      </c>
      <c r="P28" s="90">
        <v>50</v>
      </c>
      <c r="Q28" s="86">
        <f>P28*Q6</f>
        <v>15</v>
      </c>
      <c r="R28" s="86">
        <f>Q28*R6</f>
        <v>1.05</v>
      </c>
      <c r="S28" s="91">
        <f t="shared" si="1"/>
        <v>16.05</v>
      </c>
      <c r="T28" s="90">
        <f>P28-S28</f>
        <v>33.950000000000003</v>
      </c>
      <c r="U28" s="92">
        <v>25.540666666666663</v>
      </c>
      <c r="V28" s="90">
        <f>S28+U28+Z28</f>
        <v>42.590666666666664</v>
      </c>
      <c r="W28" s="93">
        <f>P28-V28</f>
        <v>7.4093333333333362</v>
      </c>
      <c r="X28" s="87">
        <v>5</v>
      </c>
      <c r="Y28" s="87"/>
      <c r="Z28" s="87">
        <v>1</v>
      </c>
      <c r="AA28" s="88">
        <v>19</v>
      </c>
      <c r="AB28" s="89" t="s">
        <v>68</v>
      </c>
      <c r="AC28" s="90">
        <v>50</v>
      </c>
      <c r="AD28" s="92">
        <v>25.540666666666663</v>
      </c>
      <c r="AE28" s="93">
        <f t="shared" si="2"/>
        <v>24.459333333333337</v>
      </c>
    </row>
    <row r="29" spans="1:31" ht="34.799999999999997" x14ac:dyDescent="0.4">
      <c r="A29" s="88">
        <v>20</v>
      </c>
      <c r="B29" s="94" t="s">
        <v>117</v>
      </c>
      <c r="C29" s="90" t="s">
        <v>179</v>
      </c>
      <c r="D29" s="86" t="e">
        <f>C29*D6</f>
        <v>#VALUE!</v>
      </c>
      <c r="E29" s="86" t="e">
        <f>D29*E6</f>
        <v>#VALUE!</v>
      </c>
      <c r="F29" s="91" t="e">
        <f t="shared" si="0"/>
        <v>#VALUE!</v>
      </c>
      <c r="G29" s="90" t="e">
        <f>C29-F29</f>
        <v>#VALUE!</v>
      </c>
      <c r="H29" s="92"/>
      <c r="I29" s="90" t="e">
        <f>F29+H29+M29</f>
        <v>#VALUE!</v>
      </c>
      <c r="J29" s="93" t="e">
        <f>C29-I29</f>
        <v>#VALUE!</v>
      </c>
      <c r="K29" s="87">
        <v>5</v>
      </c>
      <c r="L29" s="87"/>
      <c r="M29" s="87">
        <v>1</v>
      </c>
      <c r="N29" s="88">
        <v>20</v>
      </c>
      <c r="O29" s="94" t="s">
        <v>117</v>
      </c>
      <c r="P29" s="90" t="s">
        <v>179</v>
      </c>
      <c r="Q29" s="86" t="e">
        <f>P29*Q6</f>
        <v>#VALUE!</v>
      </c>
      <c r="R29" s="86" t="e">
        <f>Q29*R6</f>
        <v>#VALUE!</v>
      </c>
      <c r="S29" s="91" t="e">
        <f t="shared" si="1"/>
        <v>#VALUE!</v>
      </c>
      <c r="T29" s="90" t="e">
        <f>P29-S29</f>
        <v>#VALUE!</v>
      </c>
      <c r="U29" s="92"/>
      <c r="V29" s="90" t="e">
        <f>S29+U29+Z29</f>
        <v>#VALUE!</v>
      </c>
      <c r="W29" s="93" t="e">
        <f>P29-V29</f>
        <v>#VALUE!</v>
      </c>
      <c r="X29" s="87">
        <v>5</v>
      </c>
      <c r="Y29" s="87"/>
      <c r="Z29" s="87">
        <v>1</v>
      </c>
      <c r="AA29" s="88">
        <v>20</v>
      </c>
      <c r="AB29" s="94" t="s">
        <v>117</v>
      </c>
      <c r="AC29" s="90" t="s">
        <v>179</v>
      </c>
      <c r="AD29" s="92"/>
      <c r="AE29" s="93" t="e">
        <f t="shared" si="2"/>
        <v>#VALUE!</v>
      </c>
    </row>
    <row r="30" spans="1:31" ht="34.799999999999997" x14ac:dyDescent="0.4">
      <c r="A30" s="88">
        <v>21</v>
      </c>
      <c r="B30" s="89" t="s">
        <v>100</v>
      </c>
      <c r="C30" s="90">
        <v>55</v>
      </c>
      <c r="D30" s="86">
        <f>C30*D6</f>
        <v>17.600000000000001</v>
      </c>
      <c r="E30" s="86">
        <f>D30*E6</f>
        <v>1.2320000000000002</v>
      </c>
      <c r="F30" s="91">
        <f t="shared" si="0"/>
        <v>18.832000000000001</v>
      </c>
      <c r="G30" s="90">
        <f>C30-F30</f>
        <v>36.167999999999999</v>
      </c>
      <c r="H30" s="92">
        <v>27.490666666666662</v>
      </c>
      <c r="I30" s="90">
        <f>F30+H30+M30</f>
        <v>47.322666666666663</v>
      </c>
      <c r="J30" s="93">
        <f>C30-I30</f>
        <v>7.6773333333333369</v>
      </c>
      <c r="K30" s="87"/>
      <c r="L30" s="87"/>
      <c r="M30" s="87">
        <v>1</v>
      </c>
      <c r="N30" s="88">
        <v>21</v>
      </c>
      <c r="O30" s="89" t="s">
        <v>100</v>
      </c>
      <c r="P30" s="90">
        <v>55</v>
      </c>
      <c r="Q30" s="86">
        <f>P30*Q6</f>
        <v>16.5</v>
      </c>
      <c r="R30" s="86">
        <f>Q30*R6</f>
        <v>1.155</v>
      </c>
      <c r="S30" s="91">
        <f t="shared" si="1"/>
        <v>17.655000000000001</v>
      </c>
      <c r="T30" s="90">
        <f>P30-S30</f>
        <v>37.344999999999999</v>
      </c>
      <c r="U30" s="92">
        <v>27.490666666666662</v>
      </c>
      <c r="V30" s="90">
        <f>S30+U30+Z30</f>
        <v>46.145666666666664</v>
      </c>
      <c r="W30" s="93">
        <f>P30-V30</f>
        <v>8.8543333333333365</v>
      </c>
      <c r="X30" s="87"/>
      <c r="Y30" s="87"/>
      <c r="Z30" s="87">
        <v>1</v>
      </c>
      <c r="AA30" s="88">
        <v>21</v>
      </c>
      <c r="AB30" s="89" t="s">
        <v>100</v>
      </c>
      <c r="AC30" s="90">
        <v>55</v>
      </c>
      <c r="AD30" s="92">
        <v>27.490666666666662</v>
      </c>
      <c r="AE30" s="93">
        <f t="shared" si="2"/>
        <v>27.509333333333338</v>
      </c>
    </row>
    <row r="31" spans="1:31" ht="34.799999999999997" x14ac:dyDescent="0.4">
      <c r="A31" s="88"/>
      <c r="B31" s="89"/>
      <c r="C31" s="90"/>
      <c r="D31" s="86"/>
      <c r="E31" s="86"/>
      <c r="F31" s="91"/>
      <c r="G31" s="90"/>
      <c r="H31" s="92"/>
      <c r="I31" s="90"/>
      <c r="J31" s="93"/>
      <c r="K31" s="87"/>
      <c r="L31" s="87"/>
      <c r="M31" s="87"/>
      <c r="N31" s="88"/>
      <c r="O31" s="89"/>
      <c r="P31" s="90"/>
      <c r="Q31" s="86"/>
      <c r="R31" s="86"/>
      <c r="S31" s="91"/>
      <c r="T31" s="90"/>
      <c r="U31" s="92"/>
      <c r="V31" s="90"/>
      <c r="W31" s="93"/>
      <c r="X31" s="87"/>
      <c r="Y31" s="87"/>
      <c r="Z31" s="87"/>
      <c r="AA31" s="88"/>
      <c r="AB31" s="89"/>
      <c r="AC31" s="90"/>
      <c r="AD31" s="92"/>
      <c r="AE31" s="93"/>
    </row>
    <row r="32" spans="1:31" ht="34.799999999999997" x14ac:dyDescent="0.4">
      <c r="A32" s="88">
        <v>22</v>
      </c>
      <c r="B32" s="89" t="s">
        <v>40</v>
      </c>
      <c r="C32" s="90">
        <v>60</v>
      </c>
      <c r="D32" s="86">
        <f>C32*D6</f>
        <v>19.2</v>
      </c>
      <c r="E32" s="86">
        <f>D32*E6</f>
        <v>1.3440000000000001</v>
      </c>
      <c r="F32" s="91">
        <f t="shared" si="0"/>
        <v>20.544</v>
      </c>
      <c r="G32" s="90">
        <f>C32-F32</f>
        <v>39.456000000000003</v>
      </c>
      <c r="H32" s="92">
        <v>35.733533333333334</v>
      </c>
      <c r="I32" s="90">
        <f>F32+H32+M32</f>
        <v>57.277533333333338</v>
      </c>
      <c r="J32" s="93">
        <f>C32-I32</f>
        <v>2.7224666666666621</v>
      </c>
      <c r="K32" s="87">
        <v>5</v>
      </c>
      <c r="L32" s="87"/>
      <c r="M32" s="87">
        <v>1</v>
      </c>
      <c r="N32" s="88">
        <v>22</v>
      </c>
      <c r="O32" s="89" t="s">
        <v>40</v>
      </c>
      <c r="P32" s="90">
        <v>60</v>
      </c>
      <c r="Q32" s="86">
        <f>P32*Q6</f>
        <v>18</v>
      </c>
      <c r="R32" s="86">
        <f>Q32*R6</f>
        <v>1.2600000000000002</v>
      </c>
      <c r="S32" s="91">
        <f t="shared" si="1"/>
        <v>19.260000000000002</v>
      </c>
      <c r="T32" s="90">
        <f>P32-S32</f>
        <v>40.739999999999995</v>
      </c>
      <c r="U32" s="92">
        <v>35.733533333333334</v>
      </c>
      <c r="V32" s="90">
        <f>S32+U32+Z32</f>
        <v>55.993533333333332</v>
      </c>
      <c r="W32" s="93">
        <f>P32-V32</f>
        <v>4.0064666666666682</v>
      </c>
      <c r="X32" s="87">
        <v>5</v>
      </c>
      <c r="Y32" s="87"/>
      <c r="Z32" s="87">
        <v>1</v>
      </c>
      <c r="AA32" s="88">
        <v>22</v>
      </c>
      <c r="AB32" s="89" t="s">
        <v>40</v>
      </c>
      <c r="AC32" s="90">
        <v>60</v>
      </c>
      <c r="AD32" s="92">
        <v>35.733533333333334</v>
      </c>
      <c r="AE32" s="93">
        <f t="shared" si="2"/>
        <v>24.266466666666666</v>
      </c>
    </row>
    <row r="33" spans="1:31" ht="34.799999999999997" x14ac:dyDescent="0.4">
      <c r="A33" s="88">
        <v>23</v>
      </c>
      <c r="B33" s="94" t="s">
        <v>178</v>
      </c>
      <c r="C33" s="90" t="s">
        <v>179</v>
      </c>
      <c r="D33" s="86" t="e">
        <f>C33*D6</f>
        <v>#VALUE!</v>
      </c>
      <c r="E33" s="86" t="e">
        <f>D33*E6</f>
        <v>#VALUE!</v>
      </c>
      <c r="F33" s="91" t="e">
        <f t="shared" si="0"/>
        <v>#VALUE!</v>
      </c>
      <c r="G33" s="90" t="e">
        <f>C33-F33</f>
        <v>#VALUE!</v>
      </c>
      <c r="H33" s="92">
        <v>46.214319047619057</v>
      </c>
      <c r="I33" s="90" t="e">
        <f>F33+H33+M33</f>
        <v>#VALUE!</v>
      </c>
      <c r="J33" s="93" t="e">
        <f>C33-I33</f>
        <v>#VALUE!</v>
      </c>
      <c r="K33" s="87"/>
      <c r="L33" s="87"/>
      <c r="M33" s="87">
        <v>1</v>
      </c>
      <c r="N33" s="88">
        <v>23</v>
      </c>
      <c r="O33" s="94" t="s">
        <v>178</v>
      </c>
      <c r="P33" s="90" t="s">
        <v>179</v>
      </c>
      <c r="Q33" s="86" t="e">
        <f>P33*Q6</f>
        <v>#VALUE!</v>
      </c>
      <c r="R33" s="86" t="e">
        <f>Q33*R6</f>
        <v>#VALUE!</v>
      </c>
      <c r="S33" s="91" t="e">
        <f t="shared" si="1"/>
        <v>#VALUE!</v>
      </c>
      <c r="T33" s="90" t="e">
        <f>P33-S33</f>
        <v>#VALUE!</v>
      </c>
      <c r="U33" s="92">
        <v>46.214319047619057</v>
      </c>
      <c r="V33" s="90" t="e">
        <f>S33+U33+Z33</f>
        <v>#VALUE!</v>
      </c>
      <c r="W33" s="93" t="e">
        <f>P33-V33</f>
        <v>#VALUE!</v>
      </c>
      <c r="X33" s="87"/>
      <c r="Y33" s="87"/>
      <c r="Z33" s="87">
        <v>1</v>
      </c>
      <c r="AA33" s="88">
        <v>23</v>
      </c>
      <c r="AB33" s="94" t="s">
        <v>178</v>
      </c>
      <c r="AC33" s="90" t="s">
        <v>179</v>
      </c>
      <c r="AD33" s="92">
        <v>46.214319047619057</v>
      </c>
      <c r="AE33" s="93" t="e">
        <f t="shared" si="2"/>
        <v>#VALUE!</v>
      </c>
    </row>
    <row r="34" spans="1:31" ht="34.799999999999997" x14ac:dyDescent="0.4">
      <c r="A34" s="88">
        <v>24</v>
      </c>
      <c r="B34" s="89" t="s">
        <v>17</v>
      </c>
      <c r="C34" s="90">
        <v>45</v>
      </c>
      <c r="D34" s="86">
        <f>C34*D6</f>
        <v>14.4</v>
      </c>
      <c r="E34" s="86">
        <f>D34*E6</f>
        <v>1.0080000000000002</v>
      </c>
      <c r="F34" s="91">
        <f t="shared" si="0"/>
        <v>15.408000000000001</v>
      </c>
      <c r="G34" s="90">
        <f>C34-F34</f>
        <v>29.591999999999999</v>
      </c>
      <c r="H34" s="92">
        <v>16.003</v>
      </c>
      <c r="I34" s="90">
        <f>F34+H34+M34</f>
        <v>32.411000000000001</v>
      </c>
      <c r="J34" s="93">
        <f>C34-I34</f>
        <v>12.588999999999999</v>
      </c>
      <c r="K34" s="87">
        <v>5</v>
      </c>
      <c r="L34" s="87"/>
      <c r="M34" s="87">
        <v>1</v>
      </c>
      <c r="N34" s="88">
        <v>24</v>
      </c>
      <c r="O34" s="89" t="s">
        <v>17</v>
      </c>
      <c r="P34" s="90">
        <v>45</v>
      </c>
      <c r="Q34" s="86">
        <f>P34*Q6</f>
        <v>13.5</v>
      </c>
      <c r="R34" s="86">
        <f>Q34*R6</f>
        <v>0.94500000000000006</v>
      </c>
      <c r="S34" s="91">
        <f t="shared" si="1"/>
        <v>14.445</v>
      </c>
      <c r="T34" s="90">
        <f>P34-S34</f>
        <v>30.555</v>
      </c>
      <c r="U34" s="92">
        <v>16.003</v>
      </c>
      <c r="V34" s="90">
        <f>S34+U34+Z34</f>
        <v>31.448</v>
      </c>
      <c r="W34" s="93">
        <f>P34-V34</f>
        <v>13.552</v>
      </c>
      <c r="X34" s="87">
        <v>5</v>
      </c>
      <c r="Y34" s="87"/>
      <c r="Z34" s="87">
        <v>1</v>
      </c>
      <c r="AA34" s="88">
        <v>24</v>
      </c>
      <c r="AB34" s="89" t="s">
        <v>17</v>
      </c>
      <c r="AC34" s="90">
        <v>45</v>
      </c>
      <c r="AD34" s="92">
        <v>16.003</v>
      </c>
      <c r="AE34" s="93">
        <f t="shared" si="2"/>
        <v>28.997</v>
      </c>
    </row>
    <row r="35" spans="1:31" ht="34.799999999999997" x14ac:dyDescent="0.4">
      <c r="A35" s="88">
        <v>25</v>
      </c>
      <c r="B35" s="89" t="s">
        <v>123</v>
      </c>
      <c r="C35" s="90">
        <v>50</v>
      </c>
      <c r="D35" s="86">
        <f>C35*D6</f>
        <v>16</v>
      </c>
      <c r="E35" s="86">
        <f>D35*E6</f>
        <v>1.1200000000000001</v>
      </c>
      <c r="F35" s="91">
        <f t="shared" si="0"/>
        <v>17.12</v>
      </c>
      <c r="G35" s="90">
        <f>C35-F35</f>
        <v>32.879999999999995</v>
      </c>
      <c r="H35" s="92">
        <v>26.100285714285718</v>
      </c>
      <c r="I35" s="90">
        <f>F35+H35+M35</f>
        <v>44.220285714285723</v>
      </c>
      <c r="J35" s="93">
        <f>C35-I35</f>
        <v>5.7797142857142774</v>
      </c>
      <c r="K35" s="87"/>
      <c r="L35" s="87"/>
      <c r="M35" s="87">
        <v>1</v>
      </c>
      <c r="N35" s="88">
        <v>25</v>
      </c>
      <c r="O35" s="89" t="s">
        <v>123</v>
      </c>
      <c r="P35" s="90">
        <v>50</v>
      </c>
      <c r="Q35" s="86">
        <f>P35*Q6</f>
        <v>15</v>
      </c>
      <c r="R35" s="86">
        <f>Q35*R6</f>
        <v>1.05</v>
      </c>
      <c r="S35" s="91">
        <f t="shared" si="1"/>
        <v>16.05</v>
      </c>
      <c r="T35" s="90">
        <f>P35-S35</f>
        <v>33.950000000000003</v>
      </c>
      <c r="U35" s="92">
        <v>26.100285714285718</v>
      </c>
      <c r="V35" s="90">
        <f>S35+U35+Z35</f>
        <v>43.150285714285715</v>
      </c>
      <c r="W35" s="93">
        <f>P35-V35</f>
        <v>6.8497142857142848</v>
      </c>
      <c r="X35" s="87"/>
      <c r="Y35" s="87"/>
      <c r="Z35" s="87">
        <v>1</v>
      </c>
      <c r="AA35" s="88">
        <v>25</v>
      </c>
      <c r="AB35" s="89" t="s">
        <v>123</v>
      </c>
      <c r="AC35" s="90">
        <v>50</v>
      </c>
      <c r="AD35" s="92">
        <v>26.100285714285718</v>
      </c>
      <c r="AE35" s="93">
        <f t="shared" si="2"/>
        <v>23.899714285714282</v>
      </c>
    </row>
    <row r="36" spans="1:31" ht="34.799999999999997" x14ac:dyDescent="0.4">
      <c r="A36" s="88">
        <v>26</v>
      </c>
      <c r="B36" s="89" t="s">
        <v>124</v>
      </c>
      <c r="C36" s="90">
        <v>50</v>
      </c>
      <c r="D36" s="86">
        <f>C36*D6</f>
        <v>16</v>
      </c>
      <c r="E36" s="86">
        <f>D36*E6</f>
        <v>1.1200000000000001</v>
      </c>
      <c r="F36" s="91">
        <f t="shared" si="0"/>
        <v>17.12</v>
      </c>
      <c r="G36" s="90">
        <f>C36-F36</f>
        <v>32.879999999999995</v>
      </c>
      <c r="H36" s="92">
        <v>26.100285714285718</v>
      </c>
      <c r="I36" s="90">
        <f>F36+H36+M36</f>
        <v>44.220285714285723</v>
      </c>
      <c r="J36" s="93">
        <f>C36-I36</f>
        <v>5.7797142857142774</v>
      </c>
      <c r="K36" s="87"/>
      <c r="L36" s="87"/>
      <c r="M36" s="87">
        <v>1</v>
      </c>
      <c r="N36" s="88">
        <v>26</v>
      </c>
      <c r="O36" s="89" t="s">
        <v>124</v>
      </c>
      <c r="P36" s="90">
        <v>50</v>
      </c>
      <c r="Q36" s="86">
        <f>P36*Q6</f>
        <v>15</v>
      </c>
      <c r="R36" s="86">
        <f>Q36*R6</f>
        <v>1.05</v>
      </c>
      <c r="S36" s="91">
        <f t="shared" si="1"/>
        <v>16.05</v>
      </c>
      <c r="T36" s="90">
        <f>P36-S36</f>
        <v>33.950000000000003</v>
      </c>
      <c r="U36" s="92">
        <v>26.100285714285718</v>
      </c>
      <c r="V36" s="90">
        <f>S36+U36+Z36</f>
        <v>43.150285714285715</v>
      </c>
      <c r="W36" s="93">
        <f>P36-V36</f>
        <v>6.8497142857142848</v>
      </c>
      <c r="X36" s="87"/>
      <c r="Y36" s="87"/>
      <c r="Z36" s="87">
        <v>1</v>
      </c>
      <c r="AA36" s="88">
        <v>26</v>
      </c>
      <c r="AB36" s="89" t="s">
        <v>124</v>
      </c>
      <c r="AC36" s="90">
        <v>50</v>
      </c>
      <c r="AD36" s="92">
        <v>26.100285714285718</v>
      </c>
      <c r="AE36" s="93">
        <f t="shared" si="2"/>
        <v>23.899714285714282</v>
      </c>
    </row>
    <row r="37" spans="1:31" ht="34.799999999999997" x14ac:dyDescent="0.4">
      <c r="A37" s="88"/>
      <c r="B37" s="89"/>
      <c r="C37" s="90"/>
      <c r="D37" s="86"/>
      <c r="E37" s="86"/>
      <c r="F37" s="91"/>
      <c r="G37" s="90"/>
      <c r="H37" s="92"/>
      <c r="I37" s="90"/>
      <c r="J37" s="93"/>
      <c r="K37" s="87"/>
      <c r="L37" s="87"/>
      <c r="M37" s="87"/>
      <c r="N37" s="88"/>
      <c r="O37" s="89"/>
      <c r="P37" s="90"/>
      <c r="Q37" s="86"/>
      <c r="R37" s="86"/>
      <c r="S37" s="91"/>
      <c r="T37" s="90"/>
      <c r="U37" s="92"/>
      <c r="V37" s="90"/>
      <c r="W37" s="93"/>
      <c r="X37" s="87"/>
      <c r="Y37" s="87"/>
      <c r="Z37" s="87"/>
      <c r="AA37" s="88"/>
      <c r="AB37" s="89"/>
      <c r="AC37" s="90"/>
      <c r="AD37" s="92"/>
      <c r="AE37" s="93"/>
    </row>
    <row r="38" spans="1:31" ht="34.799999999999997" x14ac:dyDescent="0.4">
      <c r="A38" s="88">
        <v>27</v>
      </c>
      <c r="B38" s="89" t="s">
        <v>121</v>
      </c>
      <c r="C38" s="90">
        <v>40</v>
      </c>
      <c r="D38" s="86">
        <f>C38*D6</f>
        <v>12.8</v>
      </c>
      <c r="E38" s="86">
        <f>D38*E6</f>
        <v>0.89600000000000013</v>
      </c>
      <c r="F38" s="91">
        <f t="shared" si="0"/>
        <v>13.696000000000002</v>
      </c>
      <c r="G38" s="90">
        <f>C38-F38</f>
        <v>26.303999999999998</v>
      </c>
      <c r="H38" s="92">
        <v>15.23</v>
      </c>
      <c r="I38" s="90">
        <f>F38+H38+M38</f>
        <v>29.926000000000002</v>
      </c>
      <c r="J38" s="93">
        <f>C38-I38</f>
        <v>10.073999999999998</v>
      </c>
      <c r="K38" s="87"/>
      <c r="L38" s="87"/>
      <c r="M38" s="87">
        <v>1</v>
      </c>
      <c r="N38" s="88">
        <v>27</v>
      </c>
      <c r="O38" s="89" t="s">
        <v>121</v>
      </c>
      <c r="P38" s="90">
        <v>40</v>
      </c>
      <c r="Q38" s="86">
        <f>P38*Q6</f>
        <v>12</v>
      </c>
      <c r="R38" s="86">
        <f>Q38*R6</f>
        <v>0.84000000000000008</v>
      </c>
      <c r="S38" s="91">
        <f t="shared" si="1"/>
        <v>12.84</v>
      </c>
      <c r="T38" s="90">
        <f>P38-S38</f>
        <v>27.16</v>
      </c>
      <c r="U38" s="92">
        <v>15.23</v>
      </c>
      <c r="V38" s="90">
        <f>S38+U38+Z38</f>
        <v>29.07</v>
      </c>
      <c r="W38" s="93">
        <f>P38-V38</f>
        <v>10.93</v>
      </c>
      <c r="X38" s="87"/>
      <c r="Y38" s="87"/>
      <c r="Z38" s="87">
        <v>1</v>
      </c>
      <c r="AA38" s="88">
        <v>27</v>
      </c>
      <c r="AB38" s="89" t="s">
        <v>121</v>
      </c>
      <c r="AC38" s="90">
        <v>40</v>
      </c>
      <c r="AD38" s="92">
        <v>15.23</v>
      </c>
      <c r="AE38" s="93">
        <f t="shared" si="2"/>
        <v>24.77</v>
      </c>
    </row>
  </sheetData>
  <mergeCells count="27">
    <mergeCell ref="A4:M4"/>
    <mergeCell ref="N4:Z4"/>
    <mergeCell ref="AA4:AE4"/>
    <mergeCell ref="A5:B6"/>
    <mergeCell ref="C5:C6"/>
    <mergeCell ref="F5:F6"/>
    <mergeCell ref="G5:G6"/>
    <mergeCell ref="H5:H6"/>
    <mergeCell ref="I5:I6"/>
    <mergeCell ref="J5:J6"/>
    <mergeCell ref="K5:K6"/>
    <mergeCell ref="L5:L6"/>
    <mergeCell ref="M5:M6"/>
    <mergeCell ref="N5:O6"/>
    <mergeCell ref="P5:P6"/>
    <mergeCell ref="S5:S6"/>
    <mergeCell ref="T5:T6"/>
    <mergeCell ref="U5:U6"/>
    <mergeCell ref="V5:V6"/>
    <mergeCell ref="AC5:AC6"/>
    <mergeCell ref="AD5:AD6"/>
    <mergeCell ref="AE5:AE6"/>
    <mergeCell ref="W5:W6"/>
    <mergeCell ref="X5:X6"/>
    <mergeCell ref="Y5:Y6"/>
    <mergeCell ref="Z5:Z6"/>
    <mergeCell ref="AA5:AB6"/>
  </mergeCells>
  <pageMargins left="0.7" right="0.7" top="0.75" bottom="0.75" header="0.3" footer="0.3"/>
  <pageSetup paperSize="9" scale="4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นม-ชา</vt:lpstr>
      <vt:lpstr>กาแฟ</vt:lpstr>
      <vt:lpstr>lineman</vt:lpstr>
      <vt:lpstr>Shoppee</vt:lpstr>
      <vt:lpstr>Sheet1</vt:lpstr>
      <vt:lpstr>ราคา</vt:lpstr>
      <vt:lpstr>วัตถุดิบ</vt:lpstr>
      <vt:lpstr>คำนวนต้นทุน.</vt:lpstr>
      <vt:lpstr>สรุปรายการ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COM Nitro</cp:lastModifiedBy>
  <cp:lastPrinted>2025-04-28T03:05:17Z</cp:lastPrinted>
  <dcterms:created xsi:type="dcterms:W3CDTF">2021-08-25T14:07:55Z</dcterms:created>
  <dcterms:modified xsi:type="dcterms:W3CDTF">2025-08-03T14:52:31Z</dcterms:modified>
</cp:coreProperties>
</file>